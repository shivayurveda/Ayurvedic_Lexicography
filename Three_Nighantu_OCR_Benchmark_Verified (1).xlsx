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CR Benchmark" sheetId="1" state="visible" r:id="rId3"/>
    <sheet name="Instructions" sheetId="2" state="visible" r:id="rId4"/>
    <sheet name="OCR Candidates" sheetId="3" state="visible" r:id="rId5"/>
  </sheets>
  <definedNames>
    <definedName function="false" hidden="true" localSheetId="0" name="_xlnm._FilterDatabase" vbProcedure="false">'OCR Benchmark'!$A$1:$N$91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<sst xmlns="http://schemas.openxmlformats.org/spreadsheetml/2006/main" count="942" uniqueCount="314">
  <si>
    <t xml:space="preserve">Nighantu</t>
  </si>
  <si>
    <t xml:space="preserve">Passage_ID</t>
  </si>
  <si>
    <t xml:space="preserve">Corrected_Text_Ground_Truth</t>
  </si>
  <si>
    <t xml:space="preserve">OCR_Text</t>
  </si>
  <si>
    <t xml:space="preserve">Verification_Status</t>
  </si>
  <si>
    <t xml:space="preserve">Reference_Characters</t>
  </si>
  <si>
    <t xml:space="preserve">OCR_Characters</t>
  </si>
  <si>
    <t xml:space="preserve">Substitutions</t>
  </si>
  <si>
    <t xml:space="preserve">Deletions</t>
  </si>
  <si>
    <t xml:space="preserve">Insertions</t>
  </si>
  <si>
    <t xml:space="preserve">CER (%)</t>
  </si>
  <si>
    <t xml:space="preserve">Character_Accuracy (%)</t>
  </si>
  <si>
    <t xml:space="preserve">WER (%)</t>
  </si>
  <si>
    <t xml:space="preserve">Notes</t>
  </si>
  <si>
    <t xml:space="preserve">Dhanvantari</t>
  </si>
  <si>
    <t xml:space="preserve">धन्वन्तरिनिघण्टुः</t>
  </si>
  <si>
    <t xml:space="preserve">No match found - re-search needed</t>
  </si>
  <si>
    <t xml:space="preserve">जातीफलं तथैला च लवङ्गफलमेव च |</t>
  </si>
  <si>
    <t xml:space="preserve">जातीफरं तथभेला च क्वड्गफल्मेव च</t>
  </si>
  <si>
    <t xml:space="preserve">Verified</t>
  </si>
  <si>
    <t xml:space="preserve">एलात्वक्पत्रकैस्तुल्यैर्मरिचेन समन्वितैः |</t>
  </si>
  <si>
    <t xml:space="preserve">णखात्यवक्नपन्नकस्तुल्यैर्मरिचिन समन्वि्तः</t>
  </si>
  <si>
    <t xml:space="preserve">पञ्चकोलं त्रिदोषघ्नं रुच्यं दीपनपाचनम् |</t>
  </si>
  <si>
    <t xml:space="preserve">पञ्चकोलं चिदोषघ्नं रुच्यं दीपनपाचनम्</t>
  </si>
  <si>
    <t xml:space="preserve">जीवकर्षभकौ मेदा जीवन्ती च शतावरी |</t>
  </si>
  <si>
    <t xml:space="preserve">जीचकर्षभक्छा मदा जीवन्ती च छा</t>
  </si>
  <si>
    <t xml:space="preserve">बृहत्पञ्चमूल, दशमूल</t>
  </si>
  <si>
    <t xml:space="preserve">रह्त् -पञ्चमलम</t>
  </si>
  <si>
    <t xml:space="preserve">तृणपञ्चमूल</t>
  </si>
  <si>
    <t xml:space="preserve">चवणपञ्च</t>
  </si>
  <si>
    <t xml:space="preserve">वेसवार</t>
  </si>
  <si>
    <t xml:space="preserve">मध्वाज्यस्य पलार्धार्धं मरिचैला पलार्धकम् ||३७||</t>
  </si>
  <si>
    <t xml:space="preserve">मध्याज्यस्य पलार्धार्धं मरिचस्य पत्यार्धक्</t>
  </si>
  <si>
    <t xml:space="preserve">सुगन्धामलक</t>
  </si>
  <si>
    <t xml:space="preserve">यक्षकर्दम (महासुगन्ध)</t>
  </si>
  <si>
    <t xml:space="preserve">यक्षकर्दमः (महासुगन्ध</t>
  </si>
  <si>
    <t xml:space="preserve">लाजाचूर्णं समध्वाज्यं सन्तर्पणमुदाहृतम् ||५२||</t>
  </si>
  <si>
    <t xml:space="preserve">काजचूर्णं समध्वाज्यं संतर्पणमुदाहतम्</t>
  </si>
  <si>
    <t xml:space="preserve">फलं पञ्चाम्लकं ख्यातं तिन्तिडीसहितं परम् ||५६||</t>
  </si>
  <si>
    <t xml:space="preserve">फलपच्चाम्लकः ख्यात तिन्तिडिसहितं परम्</t>
  </si>
  <si>
    <t xml:space="preserve">शिरीषपत्रं त्वक्पुष्पफलमूल समन्वितम् |</t>
  </si>
  <si>
    <t xml:space="preserve">शिरीषपन्रं त्वक्पुष्पफलम् समन्वितम्</t>
  </si>
  <si>
    <t xml:space="preserve">सर्पनेत्रयुताः पञ्च सिद्धौषधिकसञ्ज्ञकाः ||६४||</t>
  </si>
  <si>
    <t xml:space="preserve">सर्पनेत्रयुताः पच्च सिद्धौषधिक संज्ञकः</t>
  </si>
  <si>
    <t xml:space="preserve">सर्वमेकत्र संयुक्तं मूत्राष्टकमुदाहृतम् ||६८||</t>
  </si>
  <si>
    <t xml:space="preserve">सर्वमकन संयुत्तः मूचाष्टकमुदाहतम्</t>
  </si>
  <si>
    <t xml:space="preserve">अपामार्गपलाशार्कतिलमुष्कयवाग्रजम् |</t>
  </si>
  <si>
    <t xml:space="preserve">अपामार्गपलाक्षार्व तिरमुष्कयवाग्र जम्</t>
  </si>
  <si>
    <t xml:space="preserve">कटुतिक्तकषायाश्च लवणोऽम्लश्च पञ्चमः |</t>
  </si>
  <si>
    <t xml:space="preserve">कट् तित्तकषायाश्च कर्चवणो ऽम्लश्च पञ्चमः</t>
  </si>
  <si>
    <t xml:space="preserve">पाटवं लाघवं वार्तमारोग्यं स्यादनामयम् ||८२||</t>
  </si>
  <si>
    <t xml:space="preserve">पाटवं काध्चं वार्तमायग्यं स्यादनामयम्</t>
  </si>
  <si>
    <t xml:space="preserve">आहारभेदा</t>
  </si>
  <si>
    <t xml:space="preserve">पुष्परागं च गोमेदं नीलं गारुत्मतं तथा ||९१||</t>
  </si>
  <si>
    <t xml:space="preserve">पुष्परागे च गोमद नीर गारुत्मत तथा</t>
  </si>
  <si>
    <t xml:space="preserve">सौराष्ट्री च मता क्षमी उपरसा सूतस्य किञ्चिद्गुणैः ||९५||</t>
  </si>
  <si>
    <t xml:space="preserve">सौराष्टी च मता अमी उपरसा सूतस्य किचित् गुणैः</t>
  </si>
  <si>
    <t xml:space="preserve">मूलं पत्रं फलं पुष्पं त्वक्क्षीरं सार एव च |</t>
  </si>
  <si>
    <t xml:space="preserve">मूक पन प्ल पुष्पं त्वक् क्षीर सार एव च</t>
  </si>
  <si>
    <t xml:space="preserve">देवासुररणे देवैर्हतस्य पृथुमालिनः |</t>
  </si>
  <si>
    <t xml:space="preserve">देवासुररणे दे वैर्हतस्य प्रुथुमालिनः</t>
  </si>
  <si>
    <t xml:space="preserve">हालाहल</t>
  </si>
  <si>
    <t xml:space="preserve">सौराष्ट्रिक</t>
  </si>
  <si>
    <t xml:space="preserve">सौराष्ट्िक</t>
  </si>
  <si>
    <t xml:space="preserve">हरितालं च गोदन्तं पीतकं नटमण्डकम् |</t>
  </si>
  <si>
    <t xml:space="preserve">हरिता च गोदन्त पीतकं नटमण्डनम्</t>
  </si>
  <si>
    <t xml:space="preserve">कुष्ठकण्डूभूतवातन्हन्ति सौभाग्यदायकम् ||१२५||</t>
  </si>
  <si>
    <t xml:space="preserve">उपविषगण</t>
  </si>
  <si>
    <t xml:space="preserve">उपविषाण</t>
  </si>
  <si>
    <t xml:space="preserve">मिश्रकादिः सप्तमो वर्गः |</t>
  </si>
  <si>
    <t xml:space="preserve">मिश्रकादिः सप्तमो वर्गः</t>
  </si>
  <si>
    <t xml:space="preserve">Rajanighantu</t>
  </si>
  <si>
    <t xml:space="preserve">राजनिघण्टुः</t>
  </si>
  <si>
    <t xml:space="preserve">इत्यादि तु नित्यार्द्रं गुणवच्छुष्कं यदा तदा द्विगुणम् ||४९||</t>
  </si>
  <si>
    <t xml:space="preserve">इत्यादि तु नित्याद्र गुणवच्छुपक्र यदा तदा द्विगुणम्</t>
  </si>
  <si>
    <t xml:space="preserve">काकनासा</t>
  </si>
  <si>
    <t xml:space="preserve">अन्या चैव महानीली अमला राजनीलिका |</t>
  </si>
  <si>
    <t xml:space="preserve">अन्याचैव महानीली अमला राजनीलिका</t>
  </si>
  <si>
    <t xml:space="preserve">पुष्पिका</t>
  </si>
  <si>
    <t xml:space="preserve">पाशुपतः शिवमतः सुरेष्टः शिवशेखरः |</t>
  </si>
  <si>
    <t xml:space="preserve">पाशुपतः शिवमतः सुरेष्टः शिवशेखरः</t>
  </si>
  <si>
    <t xml:space="preserve">सामुद्रकं तु सामुद्रं समुद्रलवणं शिवम् |</t>
  </si>
  <si>
    <t xml:space="preserve">सामुद्रकं तु सामुद्र समुद्रलवणं शिवम्</t>
  </si>
  <si>
    <t xml:space="preserve">सुभद्रा च तृणी दूर्वा गन्धा पृथुपलाशिका |</t>
  </si>
  <si>
    <t xml:space="preserve">सुभद्रा च दणी दूर्वा गन्धा प्रथुपलाशिका</t>
  </si>
  <si>
    <t xml:space="preserve">अमृतश्च महावीर्यो महौषधिः शवरकन्दश्च ||८६||</t>
  </si>
  <si>
    <t xml:space="preserve">अमृतश्च महावीय्यों महौषधिः शव्रकन्दश्</t>
  </si>
  <si>
    <t xml:space="preserve">त्रपुसी पीतपुष्पी कण्टालुस्त्रपुसकर्कटी |</t>
  </si>
  <si>
    <t xml:space="preserve">न्रपुसी पीतपुष्पी कण्टालुञ्जपुसककटी</t>
  </si>
  <si>
    <t xml:space="preserve">छिद्रान्तो मृदुपत्रश्च रन्ध्रपत्रो मृदुच्छदः |</t>
  </si>
  <si>
    <t xml:space="preserve">छिद्रान्तो मृढुपत्रश्च रन्धपत्रो संदुच्छदः</t>
  </si>
  <si>
    <t xml:space="preserve">पूतिकरञ्जः कैडर्यः कलिमालश्च सप्तधा ||६८||</t>
  </si>
  <si>
    <t xml:space="preserve">पूतिकरञ्जः कैडय्येः कलिमालश्च सप्तधा</t>
  </si>
  <si>
    <t xml:space="preserve">शुक्लार्क</t>
  </si>
  <si>
    <t xml:space="preserve">शुक्लाक</t>
  </si>
  <si>
    <t xml:space="preserve">कृष्णतुलसी</t>
  </si>
  <si>
    <t xml:space="preserve">तुलसी</t>
  </si>
  <si>
    <r>
      <rPr>
        <sz val="11"/>
        <color theme="1"/>
        <rFont val="Calibri"/>
        <family val="2"/>
        <charset val="1"/>
      </rPr>
      <t xml:space="preserve">Check: OCR heading is </t>
    </r>
    <r>
      <rPr>
        <sz val="11"/>
        <color theme="1"/>
        <rFont val="FreeSans"/>
        <family val="2"/>
      </rPr>
      <t xml:space="preserve">तुलसी</t>
    </r>
    <r>
      <rPr>
        <sz val="11"/>
        <color theme="1"/>
        <rFont val="Calibri"/>
        <family val="2"/>
        <charset val="1"/>
      </rPr>
      <t xml:space="preserve">; ground truth is </t>
    </r>
    <r>
      <rPr>
        <sz val="11"/>
        <color theme="1"/>
        <rFont val="FreeSans"/>
        <family val="2"/>
      </rPr>
      <t xml:space="preserve">कृष्णतुलसी</t>
    </r>
  </si>
  <si>
    <t xml:space="preserve">भल्लातक</t>
  </si>
  <si>
    <t xml:space="preserve">मल्लातक</t>
  </si>
  <si>
    <t xml:space="preserve">कफज्वरातिसारघ्नो रुचिकृद्दीपनः परः ||१९०||</t>
  </si>
  <si>
    <t xml:space="preserve">कफज्वरातिसारघ्मो रुचिकृद्ीपनः परः</t>
  </si>
  <si>
    <t xml:space="preserve">शुद्धो वा मलिनोऽस्तु वा मृगमदः किं जातमेतावता कोऽप्यस्यानवधिश्चमत्कृतिनिधिः सौरभ्यमेको गुणः |</t>
  </si>
  <si>
    <t xml:space="preserve">शुट्ठी वा मलिनो&amp;स्तु वा मृगमदः कि जातमेतावता कोऽ्यस्यानवधिशचमत्क्रतिनिधिः सौरभ्यमेको गुणः</t>
  </si>
  <si>
    <t xml:space="preserve">OCR passage extended to full verse (neighbouring OCR lines included)</t>
  </si>
  <si>
    <t xml:space="preserve">रक्तं नेपालकञ्चैव रक्तधातुः करेन्दुधा ||१८||</t>
  </si>
  <si>
    <t xml:space="preserve">रक्तं नेपाळकळ्चव रक्तघातुः करेन्डुघा</t>
  </si>
  <si>
    <t xml:space="preserve">माणिक्य</t>
  </si>
  <si>
    <t xml:space="preserve">विण्मूत्रारुणनीलिकाविषहतं तप्तं घनं फेनिलं दन्तग्राह्यमनार्तवं सलवणं शैवालकैः संवृतम् |</t>
  </si>
  <si>
    <t xml:space="preserve">विण्मूत्रारुणनीलिकाविषहतं तप्तं घनं फेनिलं दन्तग्राह्ममनात्तवं सलवणं शेवाळकः संवृतम्</t>
  </si>
  <si>
    <t xml:space="preserve">धारोष्ण दुग्ध</t>
  </si>
  <si>
    <t xml:space="preserve">धारोष्ण दूध</t>
  </si>
  <si>
    <t xml:space="preserve">विषसाम्यगुणत्वाच्च योगे तत्र प्रयोजयेत् ||१२७||</t>
  </si>
  <si>
    <t xml:space="preserve">विषसाम्यगुणत्वाच्च॑ योगे तत्र प्रयोजयेत्</t>
  </si>
  <si>
    <t xml:space="preserve">कङ्गुणी</t>
  </si>
  <si>
    <t xml:space="preserve">इङ्गुदी</t>
  </si>
  <si>
    <t xml:space="preserve">राजा तु सार्वभौमः स्यात् पार्थिवः क्षत्रियो नृपः ||१४||</t>
  </si>
  <si>
    <t xml:space="preserve">राजः तु सावभोमः स्यात् पार्थिवः क्षत्रियो नृप</t>
  </si>
  <si>
    <t xml:space="preserve">प्लवङ्गमो वनौकाश्च प्लवङ्गः प्लवगः प्लवः ||५२||</t>
  </si>
  <si>
    <t xml:space="preserve">प्लवज्ञमों वनौकाञ्च प्छवङ्गः प्छबगः प्लवः</t>
  </si>
  <si>
    <t xml:space="preserve">येनेभास्यपिता मृगाङ्कमुकुटः शार्दूलचर्माम्बरः सर्पालङ्करणः सुपुङ्गवगतिः पञ्चाननोऽभ्यर्च्यते |</t>
  </si>
  <si>
    <t xml:space="preserve">येनेभास्यपिता म्रगाङ्कमुकुट; शादू ळचमोस्बरः सपाॉळङ्करणः सुपुङगवर्गातः पङचाननाऽभ्यच्यत</t>
  </si>
  <si>
    <t xml:space="preserve">श्लेष्मा गुरुः श्लक्ष्णमृदुः स्थिरस्तथा स्निग्धः पटुः शीतजडश्च गौल्यवान् |</t>
  </si>
  <si>
    <t xml:space="preserve">इछेष्मा गुरुः इलक्षणसृदुः स्थिरस्तथा स्निग्धः पटुः शीतजडश्च गौल्यवान्</t>
  </si>
  <si>
    <t xml:space="preserve">काचसैन्धव सामुद्र विड्क सौवर्चलैः समैः ||४९||</t>
  </si>
  <si>
    <t xml:space="preserve">काचसनन््धव-सामुद्र-बड-सोवचछ समः</t>
  </si>
  <si>
    <t xml:space="preserve">कण्टकी खदिरे प्रोक्ता वृन्ताके चाथ नीलिका |</t>
  </si>
  <si>
    <t xml:space="preserve">कण्टकी खदिरे प्रोक्ता बृन्ताके चाथ नीलिका</t>
  </si>
  <si>
    <t xml:space="preserve">इति श्रीनरहरिपण्डितविरचिते निघण्टुराजापरपर्यायवत्यभिधानचूडामणावेकार्थाद्यभिधानस्त्रयोविंशो वर्गः |</t>
  </si>
  <si>
    <t xml:space="preserve">इति श्रीनरहरिपण्डितविरचिते निघण्डुराजा परपय्योयवत्यभि- घानचूडा मणावेकार्थाद्यमिधानस्त्रयोविंशो वर्गः</t>
  </si>
  <si>
    <t xml:space="preserve">Bhavaprakasha</t>
  </si>
  <si>
    <t xml:space="preserve">भावप्रकाश निघण्टुः</t>
  </si>
  <si>
    <t xml:space="preserve">भावप्रकाशनिघण्टुः</t>
  </si>
  <si>
    <t xml:space="preserve">निद्रा निरन्तरं यस्य यो जागर्ति च सर्वदा |</t>
  </si>
  <si>
    <t xml:space="preserve">ये रसाः पित्तशमना भवन्ति यदि तेषु वै |</t>
  </si>
  <si>
    <t xml:space="preserve">ः शीताः पित्तश्ना मूत्ररास्त</t>
  </si>
  <si>
    <t xml:space="preserve">रसं विपाकस्तौ वीर्यं प्रभावस्तान्व्यपोहति ||२५९||</t>
  </si>
  <si>
    <t xml:space="preserve">वीय, मिपाक तथा प्रभाव का वणन करत</t>
  </si>
  <si>
    <t xml:space="preserve">Check: OCR text looks like Hindi commentary, not the verse; likely a false match</t>
  </si>
  <si>
    <t xml:space="preserve">धान्यकं धानकं धान्यं धाना धानेयकं तथा |</t>
  </si>
  <si>
    <t xml:space="preserve">धान्यकं धानक धान्यं धाना धानेकं तथा</t>
  </si>
  <si>
    <t xml:space="preserve">अत्युष्णा वामनी तीक्ष्णा वह्निबुद्धिस्मृतिप्रदा ||१५१||</t>
  </si>
  <si>
    <t xml:space="preserve">अप्यु्णा वामनी सीद वहिद्धिस्द्रति प्रद</t>
  </si>
  <si>
    <t xml:space="preserve">स्वर्जिकाल्पगुणा तस्माद्विशेषाद्गुल्मशूलहृत् |</t>
  </si>
  <si>
    <t xml:space="preserve">स्व्निकाऽटपगुा  तस्माद्वि्ञेया गुरुमश्</t>
  </si>
  <si>
    <t xml:space="preserve">गोरोचना तु मङ्गल्या वन्द्या गौरी च रोचना |</t>
  </si>
  <si>
    <t xml:space="preserve">्षरोचना ; तुगाद्तीरी-दश्रोचन</t>
  </si>
  <si>
    <t xml:space="preserve">विदारिगन्धा दीर्घाङ्गी दीर्घपत्रांशुमत्यपि ||२७||</t>
  </si>
  <si>
    <t xml:space="preserve">बिदारिगन्धा दीर्थाङ्गीः दीर्॑तनांऽशुमत्यपि</t>
  </si>
  <si>
    <t xml:space="preserve">स चोक्तः पूतिकरञ्जः सोमवल्कश्च स स्मृतः ||१०३||</t>
  </si>
  <si>
    <t xml:space="preserve">स चोक्तः पूतिकरञ्जः सोमवश्कश्च स स्षतः</t>
  </si>
  <si>
    <t xml:space="preserve">प्रमेहमूढगर्भामगण्डामयविषापहम् ||१७६||</t>
  </si>
  <si>
    <t xml:space="preserve">त्  भमेहभूढगभामगण्डामयविषापृंहम्</t>
  </si>
  <si>
    <t xml:space="preserve">निहन्ति कफपित्तास्रश्वासकासारुचिज्वरान् |</t>
  </si>
  <si>
    <t xml:space="preserve">निहन्ति कफवातार्शोहटखासारुचिपीनसान्</t>
  </si>
  <si>
    <t xml:space="preserve">अगस्त्य</t>
  </si>
  <si>
    <t xml:space="preserve">अगस्त</t>
  </si>
  <si>
    <t xml:space="preserve">कटभी तु प्रमेहार्शोनाडीव्रणविषक्रिमीन् |</t>
  </si>
  <si>
    <t xml:space="preserve">कटभी तु प्रमेदारोनाडीच्रणविषक्रिमीन्</t>
  </si>
  <si>
    <t xml:space="preserve">बृंहणं पित्तदाहास्रक्षयतृष्णानिवारणम् |</t>
  </si>
  <si>
    <t xml:space="preserve">बहणे पित्तदाहा्कयतृष्णानिवारणम्</t>
  </si>
  <si>
    <t xml:space="preserve">पत्नीर्विलोक्य लावण्यलक्ष्मीसम्पन्नयौवनाः ||४||</t>
  </si>
  <si>
    <t xml:space="preserve">पतीरविरोक्य छावण्यरचमीसम्पन्नयौवनाः</t>
  </si>
  <si>
    <t xml:space="preserve">असाध्यो यो भवेद्रोगो यस्य नास्ति चिकित्सितम् |</t>
  </si>
  <si>
    <t xml:space="preserve">असास्यो यो भवेदरोगो यस्य नास्ति चिङित्सितस्</t>
  </si>
  <si>
    <t xml:space="preserve">प्रवाल</t>
  </si>
  <si>
    <t xml:space="preserve">कुलत्थ</t>
  </si>
  <si>
    <t xml:space="preserve">अम्लपाकं विदाहि स्यादुष्णं रूक्षं त्रिदोषजित् |</t>
  </si>
  <si>
    <t xml:space="preserve">शग्टपाक विदाहि स्यादुष्णं खतं त्रिदोषटत</t>
  </si>
  <si>
    <t xml:space="preserve">बाधिर्यमरुचिच्छर्दिप्रमेहमुखजान्मदान् |</t>
  </si>
  <si>
    <t xml:space="preserve">अाधिय्य॑मरुचिण्ठर्दिभमेहसुखजान् गदान्</t>
  </si>
  <si>
    <t xml:space="preserve">वाजिवाहार्वगन्धर्वहयसैन्धवसप्तयः ||७६||</t>
  </si>
  <si>
    <t xml:space="preserve">बाजिवादारवगन्धर्वहयसैम्धदसप्तयः</t>
  </si>
  <si>
    <t xml:space="preserve">धूमसीरचिता चैव प्रोक्ता झर्झरिका बुधैः |</t>
  </si>
  <si>
    <t xml:space="preserve">भूमसीरधिता चव ्रो्छा कष्चंरिका बुधः</t>
  </si>
  <si>
    <t xml:space="preserve">निपुणो भर्जयेदाज्ये खण्डपाकेन योजयेत् |</t>
  </si>
  <si>
    <t xml:space="preserve">नि पु  निगो मजंयेदाञ्ये सण्डपाङेन योजयेत्</t>
  </si>
  <si>
    <t xml:space="preserve">ज्ञातव्यो जाङ्गलो देशस्तत्रत्यं जाङ्गलं जलम् ||२३||</t>
  </si>
  <si>
    <t xml:space="preserve">ः ्ञातभ्यो जाङ्गल देशस्तश्रस्यं जाङ्गलं जरब्</t>
  </si>
  <si>
    <t xml:space="preserve">धारोष्णं शस्यते गव्यं धाराशीतन्तु माहिषम् |</t>
  </si>
  <si>
    <t xml:space="preserve">धारोष्णं शस्यते गभ्यं धाराज्ञीतन्तु माहिष</t>
  </si>
  <si>
    <t xml:space="preserve">आजघृत</t>
  </si>
  <si>
    <t xml:space="preserve">तामसे निन्द्यकर्माणि निद्राञ्च मदिराऽऽचरेत् ||२७||</t>
  </si>
  <si>
    <t xml:space="preserve">तामसे निन्धकर्माणि निन्दा मदिराऽऽयरेत्</t>
  </si>
  <si>
    <t xml:space="preserve">भृङ्गः - भृङ्गराजः, त्वक् च |१८|</t>
  </si>
  <si>
    <t xml:space="preserve">शङ्गः--शङ्गराजः, एवक् च</t>
  </si>
  <si>
    <t xml:space="preserve">इति श्रीलटकनमिश्रतनयश्रीभावमिश्रविरचिते भावप्रकाशे पूर्वखण्डे प्रथमभागे द्रव्यगुणप्रकरणापरनामकं षष्ठं मिश्रप्रकरणं समाप्तम् |</t>
  </si>
  <si>
    <t xml:space="preserve">ो भिभ्रप्रकरणे चतुरिंसोऽनेदावःमाप्तः इति सवप्रकाशे पूवखण्डे प्रथमभागे द्रन्ययुणप्रकरणापरनाभकं षठ मिभग्रकरणं समासम्</t>
  </si>
  <si>
    <t xml:space="preserve">THREE NIGHANTU OCR BENCHMARK</t>
  </si>
  <si>
    <t xml:space="preserve">Purpose</t>
  </si>
  <si>
    <t xml:space="preserve">This workbook is designed for manual alignment of OCR passages with corrected ground-truth Sanskrit text.</t>
  </si>
  <si>
    <t xml:space="preserve">Procedure</t>
  </si>
  <si>
    <t xml:space="preserve">1. For each benchmark passage, locate the corresponding passage in the original OCR text.</t>
  </si>
  <si>
    <t xml:space="preserve">2. Paste ONLY the corresponding OCR passage into the OCR_Text column.</t>
  </si>
  <si>
    <t xml:space="preserve">3. Verify that the OCR passage and corrected passage represent the same textual passage.</t>
  </si>
  <si>
    <t xml:space="preserve">4. Change Verification_Status to Verified.</t>
  </si>
  <si>
    <t xml:space="preserve">5. Do not use automatically suggested OCR candidates without manual verification.</t>
  </si>
  <si>
    <t xml:space="preserve">Important methodological rule</t>
  </si>
  <si>
    <t xml:space="preserve">The corrected verse and OCR passage must correspond to the same textual passage. Whole-file comparison is not appropriate because the OCR files contain commentary, translation, front matter and other material.</t>
  </si>
  <si>
    <t xml:space="preserve">Metrics</t>
  </si>
  <si>
    <t xml:space="preserve">CER = (Substitutions + Deletions + Insertions) / Reference Characters × 100</t>
  </si>
  <si>
    <t xml:space="preserve">Character Accuracy (%) is reported only as the descriptive complement: 100 − CER.</t>
  </si>
  <si>
    <t xml:space="preserve">WER is calculated as word-level edit distance divided by the number of reference words × 100.</t>
  </si>
  <si>
    <t xml:space="preserve">Recommended sample</t>
  </si>
  <si>
    <t xml:space="preserve">30 passages from Dhanvantari Nighantu</t>
  </si>
  <si>
    <t xml:space="preserve">30 passages from Rajanighantu</t>
  </si>
  <si>
    <t xml:space="preserve">30 passages from Bhavaprakasha Nighantu</t>
  </si>
  <si>
    <t xml:space="preserve">Total = 90 manually verified passages</t>
  </si>
  <si>
    <t xml:space="preserve">Similarity (0-1)</t>
  </si>
  <si>
    <t xml:space="preserve">Confidence</t>
  </si>
  <si>
    <t xml:space="preserve">Source_File</t>
  </si>
  <si>
    <t xml:space="preserve">Start_Line</t>
  </si>
  <si>
    <t xml:space="preserve">End_Line</t>
  </si>
  <si>
    <t xml:space="preserve">Candidate_OCR_Text</t>
  </si>
  <si>
    <t xml:space="preserve">Medium</t>
  </si>
  <si>
    <t xml:space="preserve">DhanvantariNighatu_OCR_raw_text.txt</t>
  </si>
  <si>
    <t xml:space="preserve">1 119५८ 16181760 111€ ०10 7्श1€ धन्वन्तरि निघण्डु [21187*311191 पत12119111</t>
  </si>
  <si>
    <t xml:space="preserve">n</t>
  </si>
  <si>
    <t xml:space="preserve">जातीफरं तथभेला च क्वड्गफल्मेव च ॥८॥</t>
  </si>
  <si>
    <t xml:space="preserve">y</t>
  </si>
  <si>
    <t xml:space="preserve">णखात्यवक्नपन्नकस्तुल्यैर्मरिचिन समन्वि्तः।।&lt;॥</t>
  </si>
  <si>
    <t xml:space="preserve">High</t>
  </si>
  <si>
    <t xml:space="preserve">पञ्चकोलं चिदोषघ्नं रुच्यं दीपनपाचनम्‌ ॥२५॥</t>
  </si>
  <si>
    <t xml:space="preserve">-जीचकर्षभक्छा मदा जीवन्ती च छालावश ॥२८७॥।</t>
  </si>
  <si>
    <t xml:space="preserve">Low</t>
  </si>
  <si>
    <t xml:space="preserve">131191- एवोपा] - ब्रह्त्‌ -पञ्चमलम्‌</t>
  </si>
  <si>
    <t xml:space="preserve">14४8118 [2 ८1&lt;011 - ठकचवणपञ्चकम्‌</t>
  </si>
  <si>
    <t xml:space="preserve">०८१75677 1८1 काव 11९17511 1/407514110101, वारिदा</t>
  </si>
  <si>
    <t xml:space="preserve">मध्याज्यस्य पलार्धार्धं मरिचस्य पत्यार्धक्तम्‌ ।</t>
  </si>
  <si>
    <t xml:space="preserve">91681त7त12131८8171 सुगन्धामलक्तम्‌ 652</t>
  </si>
  <si>
    <t xml:space="preserve">यक्षकर्दमः (महासुगन्धः) ४१।५६१}८81021719]1 (1\1211880128710}18}1)}</t>
  </si>
  <si>
    <t xml:space="preserve">लकाजचूर्णं समध्वाज्यं संतर्पणमुदाहतम्‌ ।</t>
  </si>
  <si>
    <t xml:space="preserve">फलपच्चाम्लकः ख्यात तिन्तिडिसहितं परम्‌ ।</t>
  </si>
  <si>
    <t xml:space="preserve">शिरीषपन्रं त्वक्पुष्पफलम्‌ समन्वितम्‌ ॥६.०।।</t>
  </si>
  <si>
    <t xml:space="preserve">सर्पनेत्रयुताः पच्च सिद्धौषधिक संज्ञकः ।</t>
  </si>
  <si>
    <t xml:space="preserve">सर्वमकन संयुत्तः मूचाष्टकमुदाहतम्‌ ।</t>
  </si>
  <si>
    <t xml:space="preserve">अपामार्गपलाक्षार्व तिरमुष्कयवाग्र जम्‌ ।१७२॥</t>
  </si>
  <si>
    <t xml:space="preserve">कट्‌ तित्तकषायाश्च कर्चवणो ऽम्लश्च पञ्चमः ।!७६॥।</t>
  </si>
  <si>
    <t xml:space="preserve">पाटवं काध्चं वार्तमायग्यं स्यादनामयम्‌ ।॥८ २॥।</t>
  </si>
  <si>
    <t xml:space="preserve">16001185 (पाटभेद) 18५८ 0€€ा1 21४6) 111 1116 00170165.</t>
  </si>
  <si>
    <t xml:space="preserve">पुष्परागे च गोमद नीर गारुत्मत तथा ॥</t>
  </si>
  <si>
    <t xml:space="preserve">सौराष्टी च मता अमी उपरसा सूतस्य किचित्‌ गुणैः ॥&lt;२॥</t>
  </si>
  <si>
    <t xml:space="preserve">मूक पन प्ल पुष्पं त्वक्‌ क्षीर सार एव च ।</t>
  </si>
  <si>
    <t xml:space="preserve">देवासुररणे दे वैर्हतस्य प्रुथुमालिनः ॥ १००॥।</t>
  </si>
  <si>
    <t xml:space="preserve">हालाहलः /12/2/1014॥</t>
  </si>
  <si>
    <t xml:space="preserve">98901351111.9}1 - सौराष्ट्िकः 660</t>
  </si>
  <si>
    <t xml:space="preserve">हरिता च गोदन्त पीतकं नटमण्डनम्‌ ।</t>
  </si>
  <si>
    <t xml:space="preserve">दद्कण्ड्हरः कान्तिसौकुमार्यकये मतः ।</t>
  </si>
  <si>
    <t xml:space="preserve">2 (13८18811) - उपविषाणि 667</t>
  </si>
  <si>
    <t xml:space="preserve">इति मिश्रकादिः सप्तमो वर्गः ।</t>
  </si>
  <si>
    <t xml:space="preserve">RajanighantuOCR_raw_text.txt</t>
  </si>
  <si>
    <t xml:space="preserve">इत्यादि तु नित्याद्र गुणवच्छुपक्र यदा तदा द्विगुणम्‌ ॥ ४६ ॥</t>
  </si>
  <si>
    <t xml:space="preserve">काकनासा ( Gyimurd ma 5४९६7९ ) के नाम--</t>
  </si>
  <si>
    <t xml:space="preserve">'अन्याचैव महानीली अमला राजनीलिका |</t>
  </si>
  <si>
    <t xml:space="preserve">शणपुष्पिका कहते हैं 1 ६८-६९ ॥</t>
  </si>
  <si>
    <t xml:space="preserve">सामुद्रकं तु सामुद्र समुद्रलवणं शिवम्‌ ।</t>
  </si>
  <si>
    <t xml:space="preserve">| सुभद्रा च दणी दूर्वा गन्धा प्रथुपलाशिका ।</t>
  </si>
  <si>
    <t xml:space="preserve">अमृतश्च महावीय्यों महौषधिः शव्रकन्दश्व ॥ ८६ ॥।</t>
  </si>
  <si>
    <t xml:space="preserve">न्रपुसी पीतपुष्पी कण्टालुञ्जपुसककटी ।</t>
  </si>
  <si>
    <t xml:space="preserve">छिद्रान्तो मृढुपत्रश्च रन्धपत्रो संदुच्छदः।</t>
  </si>
  <si>
    <t xml:space="preserve">पूतिकरञ्जः कैडय्येः कलिमालश्च सप्तधा ॥ ६८॥</t>
  </si>
  <si>
    <t xml:space="preserve">शुक्लाकं ( सफेद आक) ( GALOTRO PISGIGATEA') के नांम&gt;-</t>
  </si>
  <si>
    <t xml:space="preserve">तुलसी ( WHITI BASIL ) के नाम--</t>
  </si>
  <si>
    <t xml:space="preserve">मल्लातक ( MARKINP NUT ) के नाम-~</t>
  </si>
  <si>
    <t xml:space="preserve">कफज्वरातिसारघ्मो रुचिकृद्ीपनः परः ॥ १९०॥</t>
  </si>
  <si>
    <t xml:space="preserve">कोऽ्यस्यानवधिशचमत्क्रतिनिधिः सौरभ्यमेको गुणः ।</t>
  </si>
  <si>
    <t xml:space="preserve">रक्तं नेपाळकळ्चव रक्‍तघातुः करेन्डुघा।। १८ ॥</t>
  </si>
  <si>
    <t xml:space="preserve">माणिक्य ( ७७३४ ) के नाम</t>
  </si>
  <si>
    <t xml:space="preserve">विण्मूत्रारुणनीलिकाविषहतं तप्तं घनं फेनिलं</t>
  </si>
  <si>
    <t xml:space="preserve">धारोष्ण दूध के गूण 9</t>
  </si>
  <si>
    <t xml:space="preserve">विषसाम्यगुणत्वाच्च॑ योगे तत्र प्रयोजयेत्‌॥ १२७ ॥</t>
  </si>
  <si>
    <t xml:space="preserve">इङ्गुदी ( हिङ्गोट ) तेल के गुण २७</t>
  </si>
  <si>
    <t xml:space="preserve">राजः तु सावभोमः स्यात्‌ पार्थिवः क्षत्रियो नृप: ॥ १४॥</t>
  </si>
  <si>
    <t xml:space="preserve">प्लवज्ञमों वनौकाञ्च प्छवङ्गः प्छबगः प्लवः । । ५२ ॥</t>
  </si>
  <si>
    <t xml:space="preserve">येनेभास्यपिता म्रगाङ्कमुकुट; शादू ळचमोस्बरः</t>
  </si>
  <si>
    <t xml:space="preserve">इछेष्मा गुरुः इलक्षणसृदुः स्थिरस्तथा स्निग्धः पटुः शीतजडश्च गौल्यवान्‌।</t>
  </si>
  <si>
    <t xml:space="preserve">काचसनन्‍्धव-सामुद्र-|बड़-सोवचछ। समः ॥ ४९ ॥</t>
  </si>
  <si>
    <t xml:space="preserve">कण्टकी खदिरे प्रोक्ता बृन्ताके चाथ नीलिका।</t>
  </si>
  <si>
    <t xml:space="preserve">इति श्रीनरहरिपण्डितविरचिते निघण्डुराजा परपय्योयवत्यभि-</t>
  </si>
  <si>
    <t xml:space="preserve">bhavprakash-1_djvu.txt</t>
  </si>
  <si>
    <t xml:space="preserve">१२४ भावप्रकाशनिघण्टुः</t>
  </si>
  <si>
    <t xml:space="preserve">bhavprakash-4_djvu.txt</t>
  </si>
  <si>
    <t xml:space="preserve">स्तस्य स्यादतिवीय्यंडृद्धिरनि्ं सर्वेन्द्रियाणां वरम्‌ ॥ १४४ ॥</t>
  </si>
  <si>
    <t xml:space="preserve">‡ अरपरानिलकफाः शीताः पित्तश्ना मूत्ररास्तथा॥ ७॥ :</t>
  </si>
  <si>
    <t xml:space="preserve">यण, वीय, मिपाक तथा प्रभाव का वणन करते ह । उस्म भथम हरीतकी ( दरड ) की उत्पत्ति,</t>
  </si>
  <si>
    <t xml:space="preserve">धान्यकं धानक धान्यं धाना धानेकं तथा । कुनटी घेलुका छृन्न कस्तुम्बु ॐ वितुश्रकम्‌ ॥८६४</t>
  </si>
  <si>
    <t xml:space="preserve">अप्यु्णा वामनी सीद वहिद्धिस्द्रति प्रदः ॥</t>
  </si>
  <si>
    <t xml:space="preserve">स्व्निकाऽटपगुा  तस्माद्वि्ञेया गुरुमश्रूखदत्‌ ।</t>
  </si>
  <si>
    <t xml:space="preserve">bhavprakash-5_djvu.txt</t>
  </si>
  <si>
    <t xml:space="preserve">तुगा-द्षरोचना 1; 
तुगाद्तीरी-दश्रोचन! ५८</t>
  </si>
  <si>
    <t xml:space="preserve">bhavprakash-2_djvu.txt</t>
  </si>
  <si>
    <t xml:space="preserve">बिदारिगन्धा दीर्थाङ्गीः दीर्॑तनांऽशुमत्यपि ॥ ३१ ॥</t>
  </si>
  <si>
    <t xml:space="preserve">स चोक्तः पूतिकरञ्जः सोमवश्कश्च स स्षतः।</t>
  </si>
  <si>
    <t xml:space="preserve">श्वासकासापदं ङषटगुरममन्धित्रणप्रणुत्‌ । भमेहभूढगभामगण्डामयविषापृंहम्‌ ॥ २०६ ॥</t>
  </si>
  <si>
    <t xml:space="preserve">४ निहन्ति कफवातार्शोहटखासारुचिपीनसान्‌ ॥.६८ ॥ ‡</t>
  </si>
  <si>
    <t xml:space="preserve">अगस्ता ५०८</t>
  </si>
  <si>
    <t xml:space="preserve">कटभी स्वादुपुष्पश्च मधुरेणुः कटम्भरः । कटभी तु प्रमेदारोनाडीच्रणविषक्रिमीन्‌ ॥ ६७ ॥</t>
  </si>
  <si>
    <t xml:space="preserve">bhavprakash-3_djvu.txt</t>
  </si>
  <si>
    <t xml:space="preserve">बहणे पित्तदाहा्कयतृष्णानिवारणम्‌ । सौवीरं रघु सम्पकवं मधुरं कोलु्यते ॥ ५४ ॥</t>
  </si>
  <si>
    <t xml:space="preserve">पुरा निजाश्रमस्थानां सक्तपीणां जिताव्मनाम्‌ । पतीरविरोक्य छावण्यरचमीसम्पन्नयौवनाः॥</t>
  </si>
  <si>
    <t xml:space="preserve">असास्यो यो भवेदरोगो यस्य नास्ति चिङित्सितस्‌ ॥</t>
  </si>
  <si>
    <t xml:space="preserve">प्रवालः ( रं ) ६२६, ६२८</t>
  </si>
  <si>
    <t xml:space="preserve">५२ नाङ्कुली ? ( दश्वरभूल )</t>
  </si>
  <si>
    <t xml:space="preserve">शग्टपाक विदाहि स्यादुष्णं खतं त्रिदोषटत.। सा रटचणं तीचणं सवादु शेषु निन्दितम्‌ ॥</t>
  </si>
  <si>
    <t xml:space="preserve">अाधिय्य॑मरुचिण्ठर्दिभमेहसुखजान्‌ गदान्‌ । श्टीपदं यकगण्ड्च नाक्ञयत्यनिखामयान्‌ ॥६॥</t>
  </si>
  <si>
    <t xml:space="preserve">घोटकेऽप्यशतुरगास्तुरङ्गमाश्च तुरङ्गाः । बाजिवादारवगन्धर्वहयसैम्धदसप्तयः ॥ ८३ ४</t>
  </si>
  <si>
    <t xml:space="preserve">. भूमसीरधिता चव ्रो्छा कष्चंरिका बुधः । . श्क्ष॑री, कफपिन्तव्नी .किञ्िद्धातकरी सटा ॥६८॥</t>
  </si>
  <si>
    <t xml:space="preserve">चृताडथया समितया छ्त्वा सूत्राणि तानि पु । निगो मजंयेदाञ्ये सण्डपाङेन योजयेत्‌ ॥</t>
  </si>
  <si>
    <t xml:space="preserve">अदपोदकोऽरपश्तश्च पित्तरचछामयान्वितः। ्ञातभ्यो जाङ्गल देशस्तश्रस्यं जाङ्गलं जरब्‌ ॥</t>
  </si>
  <si>
    <t xml:space="preserve">धारोष्णं शस्यते गभ्यं धाराज्ञीतन्तु माहिष । शतोष्णमाविकं पथ्य श्रतकीतमजापयः ॥२५॥॥</t>
  </si>
  <si>
    <t xml:space="preserve">गुण जौर भरयोग--ष्सके जड़ ते सिद्ध घृत कुष्ठ मे शमद्यक १। (० चि° भ०९)।</t>
  </si>
  <si>
    <t xml:space="preserve">सास्विे सीवहास्यादि राजसे सा्ट्सादिकम्‌ । तामसे निन्धकर्माणि निन्दा मदिराऽऽयरेत्‌</t>
  </si>
  <si>
    <t xml:space="preserve">शङ्गः--शङ्गराजः, एवक्‌ च ।</t>
  </si>
  <si>
    <t xml:space="preserve">इति सवप्रकाशे पूवखण्डे प्रथमभागे द्रन्ययुणप्रकरणापरनाभकं षठ मिभग्रकरणं समासम्‌ ॥ ६ ॥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</si>
</sst>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FreeSans"/>
      <family val="2"/>
      <charset val="1"/>
    </font>
    <font>
      <sz val="11"/>
      <color theme="1"/>
      <name val="Free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C6EFCE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AF7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4" min="3" style="1" width="65"/>
    <col collapsed="false" customWidth="true" hidden="false" outlineLevel="0" max="5" min="5" style="1" width="28"/>
    <col collapsed="false" customWidth="true" hidden="false" outlineLevel="0" max="7" min="6" style="1" width="18"/>
    <col collapsed="false" customWidth="true" hidden="false" outlineLevel="0" max="11" min="8" style="1" width="15"/>
    <col collapsed="false" customWidth="true" hidden="false" outlineLevel="0" max="12" min="12" style="1" width="22"/>
    <col collapsed="false" customWidth="true" hidden="false" outlineLevel="0" max="13" min="13" style="1" width="15"/>
    <col collapsed="false" customWidth="true" hidden="false" outlineLevel="0" max="14" min="14" style="1" width="30"/>
  </cols>
  <sheetData>
    <row r="1" customFormat="false" ht="28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4.25" hidden="false" customHeight="true" outlineLevel="0" collapsed="false">
      <c r="A2" s="1" t="s">
        <v>14</v>
      </c>
      <c r="B2" s="1" t="n">
        <v>1</v>
      </c>
      <c r="C2" s="3" t="s">
        <v>15</v>
      </c>
      <c r="E2" s="1" t="s">
        <v>16</v>
      </c>
      <c r="F2" s="1" t="n">
        <f aca="false">IF(C2="","",LEN(C2))</f>
        <v>17</v>
      </c>
      <c r="G2" s="1" t="str">
        <f aca="false">IF(D2="","",LEN(D2))</f>
        <v/>
      </c>
    </row>
    <row r="3" customFormat="false" ht="14.25" hidden="false" customHeight="true" outlineLevel="0" collapsed="false">
      <c r="A3" s="1" t="s">
        <v>14</v>
      </c>
      <c r="B3" s="1" t="n">
        <v>2</v>
      </c>
      <c r="C3" s="3" t="s">
        <v>17</v>
      </c>
      <c r="D3" s="3" t="s">
        <v>18</v>
      </c>
      <c r="E3" s="1" t="s">
        <v>19</v>
      </c>
      <c r="F3" s="1" t="n">
        <v>24</v>
      </c>
      <c r="G3" s="1" t="n">
        <v>27</v>
      </c>
      <c r="H3" s="1" t="n">
        <v>4</v>
      </c>
      <c r="I3" s="1" t="n">
        <v>0</v>
      </c>
      <c r="J3" s="1" t="n">
        <v>3</v>
      </c>
      <c r="K3" s="1" t="n">
        <f aca="false">ROUND((H3+I3+J3)/F3*100,2)</f>
        <v>29.17</v>
      </c>
      <c r="L3" s="1" t="n">
        <f aca="false">ROUND(100-K3,2)</f>
        <v>70.83</v>
      </c>
      <c r="M3" s="1" t="n">
        <v>60</v>
      </c>
    </row>
    <row r="4" customFormat="false" ht="14.25" hidden="false" customHeight="true" outlineLevel="0" collapsed="false">
      <c r="A4" s="1" t="s">
        <v>14</v>
      </c>
      <c r="B4" s="1" t="n">
        <v>3</v>
      </c>
      <c r="C4" s="3" t="s">
        <v>20</v>
      </c>
      <c r="D4" s="3" t="s">
        <v>21</v>
      </c>
      <c r="E4" s="1" t="s">
        <v>19</v>
      </c>
      <c r="F4" s="1" t="n">
        <v>39</v>
      </c>
      <c r="G4" s="1" t="n">
        <v>40</v>
      </c>
      <c r="H4" s="1" t="n">
        <v>7</v>
      </c>
      <c r="I4" s="1" t="n">
        <v>1</v>
      </c>
      <c r="J4" s="1" t="n">
        <v>2</v>
      </c>
      <c r="K4" s="1" t="n">
        <f aca="false">ROUND((H4+I4+J4)/F4*100,2)</f>
        <v>25.64</v>
      </c>
      <c r="L4" s="1" t="n">
        <f aca="false">ROUND(100-K4,2)</f>
        <v>74.36</v>
      </c>
      <c r="M4" s="1" t="n">
        <v>100</v>
      </c>
    </row>
    <row r="5" customFormat="false" ht="14.25" hidden="false" customHeight="true" outlineLevel="0" collapsed="false">
      <c r="A5" s="1" t="s">
        <v>14</v>
      </c>
      <c r="B5" s="1" t="n">
        <v>4</v>
      </c>
      <c r="C5" s="3" t="s">
        <v>22</v>
      </c>
      <c r="D5" s="3" t="s">
        <v>23</v>
      </c>
      <c r="E5" s="1" t="s">
        <v>19</v>
      </c>
      <c r="F5" s="1" t="n">
        <v>35</v>
      </c>
      <c r="G5" s="1" t="n">
        <v>33</v>
      </c>
      <c r="H5" s="1" t="n">
        <v>1</v>
      </c>
      <c r="I5" s="1" t="n">
        <v>2</v>
      </c>
      <c r="J5" s="1" t="n">
        <v>0</v>
      </c>
      <c r="K5" s="1" t="n">
        <f aca="false">ROUND((H5+I5+J5)/F5*100,2)</f>
        <v>8.57</v>
      </c>
      <c r="L5" s="1" t="n">
        <f aca="false">ROUND(100-K5,2)</f>
        <v>91.43</v>
      </c>
      <c r="M5" s="1" t="n">
        <v>25</v>
      </c>
    </row>
    <row r="6" customFormat="false" ht="14.25" hidden="false" customHeight="true" outlineLevel="0" collapsed="false">
      <c r="A6" s="1" t="s">
        <v>14</v>
      </c>
      <c r="B6" s="1" t="n">
        <v>5</v>
      </c>
      <c r="C6" s="3" t="s">
        <v>24</v>
      </c>
      <c r="D6" s="3" t="s">
        <v>25</v>
      </c>
      <c r="E6" s="1" t="s">
        <v>19</v>
      </c>
      <c r="F6" s="1" t="n">
        <v>28</v>
      </c>
      <c r="G6" s="1" t="n">
        <v>25</v>
      </c>
      <c r="H6" s="1" t="n">
        <v>5</v>
      </c>
      <c r="I6" s="1" t="n">
        <v>4</v>
      </c>
      <c r="J6" s="1" t="n">
        <v>1</v>
      </c>
      <c r="K6" s="1" t="n">
        <f aca="false">ROUND((H6+I6+J6)/F6*100,2)</f>
        <v>35.71</v>
      </c>
      <c r="L6" s="1" t="n">
        <f aca="false">ROUND(100-K6,2)</f>
        <v>64.29</v>
      </c>
      <c r="M6" s="1" t="n">
        <v>60</v>
      </c>
    </row>
    <row r="7" customFormat="false" ht="14.25" hidden="false" customHeight="true" outlineLevel="0" collapsed="false">
      <c r="A7" s="1" t="s">
        <v>14</v>
      </c>
      <c r="B7" s="1" t="n">
        <v>6</v>
      </c>
      <c r="C7" s="3" t="s">
        <v>26</v>
      </c>
      <c r="D7" s="3" t="s">
        <v>27</v>
      </c>
      <c r="E7" s="1" t="s">
        <v>19</v>
      </c>
      <c r="F7" s="1" t="n">
        <v>17</v>
      </c>
      <c r="G7" s="1" t="n">
        <v>12</v>
      </c>
      <c r="H7" s="1" t="n">
        <v>3</v>
      </c>
      <c r="I7" s="1" t="n">
        <v>5</v>
      </c>
      <c r="J7" s="1" t="n">
        <v>0</v>
      </c>
      <c r="K7" s="1" t="n">
        <f aca="false">ROUND((H7+I7+J7)/F7*100,2)</f>
        <v>47.06</v>
      </c>
      <c r="L7" s="1" t="n">
        <f aca="false">ROUND(100-K7,2)</f>
        <v>52.94</v>
      </c>
      <c r="M7" s="1" t="n">
        <v>100</v>
      </c>
    </row>
    <row r="8" customFormat="false" ht="14.25" hidden="false" customHeight="true" outlineLevel="0" collapsed="false">
      <c r="A8" s="1" t="s">
        <v>14</v>
      </c>
      <c r="B8" s="1" t="n">
        <v>7</v>
      </c>
      <c r="C8" s="3" t="s">
        <v>28</v>
      </c>
      <c r="D8" s="3" t="s">
        <v>29</v>
      </c>
      <c r="E8" s="1" t="s">
        <v>19</v>
      </c>
      <c r="F8" s="1" t="n">
        <v>10</v>
      </c>
      <c r="G8" s="1" t="n">
        <v>7</v>
      </c>
      <c r="H8" s="1" t="n">
        <v>2</v>
      </c>
      <c r="I8" s="1" t="n">
        <v>3</v>
      </c>
      <c r="J8" s="1" t="n">
        <v>0</v>
      </c>
      <c r="K8" s="1" t="n">
        <f aca="false">ROUND((H8+I8+J8)/F8*100,2)</f>
        <v>50</v>
      </c>
      <c r="L8" s="1" t="n">
        <f aca="false">ROUND(100-K8,2)</f>
        <v>50</v>
      </c>
      <c r="M8" s="1" t="n">
        <v>100</v>
      </c>
    </row>
    <row r="9" customFormat="false" ht="14.25" hidden="false" customHeight="true" outlineLevel="0" collapsed="false">
      <c r="A9" s="1" t="s">
        <v>14</v>
      </c>
      <c r="B9" s="1" t="n">
        <v>8</v>
      </c>
      <c r="C9" s="3" t="s">
        <v>30</v>
      </c>
      <c r="E9" s="1" t="s">
        <v>16</v>
      </c>
      <c r="F9" s="1" t="n">
        <f aca="false">IF(C9="","",LEN(C9))</f>
        <v>6</v>
      </c>
      <c r="G9" s="1" t="str">
        <f aca="false">IF(D9="","",LEN(D9))</f>
        <v/>
      </c>
    </row>
    <row r="10" customFormat="false" ht="14.25" hidden="false" customHeight="true" outlineLevel="0" collapsed="false">
      <c r="A10" s="1" t="s">
        <v>14</v>
      </c>
      <c r="B10" s="1" t="n">
        <v>9</v>
      </c>
      <c r="C10" s="3" t="s">
        <v>31</v>
      </c>
      <c r="D10" s="3" t="s">
        <v>32</v>
      </c>
      <c r="E10" s="1" t="s">
        <v>19</v>
      </c>
      <c r="F10" s="1" t="n">
        <v>38</v>
      </c>
      <c r="G10" s="1" t="n">
        <v>39</v>
      </c>
      <c r="H10" s="1" t="n">
        <v>5</v>
      </c>
      <c r="I10" s="1" t="n">
        <v>1</v>
      </c>
      <c r="J10" s="1" t="n">
        <v>2</v>
      </c>
      <c r="K10" s="1" t="n">
        <f aca="false">ROUND((H10+I10+J10)/F10*100,2)</f>
        <v>21.05</v>
      </c>
      <c r="L10" s="1" t="n">
        <f aca="false">ROUND(100-K10,2)</f>
        <v>78.95</v>
      </c>
      <c r="M10" s="1" t="n">
        <v>75</v>
      </c>
    </row>
    <row r="11" customFormat="false" ht="14.25" hidden="false" customHeight="true" outlineLevel="0" collapsed="false">
      <c r="A11" s="1" t="s">
        <v>14</v>
      </c>
      <c r="B11" s="1" t="n">
        <v>10</v>
      </c>
      <c r="C11" s="3" t="s">
        <v>33</v>
      </c>
      <c r="D11" s="3" t="s">
        <v>33</v>
      </c>
      <c r="E11" s="1" t="s">
        <v>19</v>
      </c>
      <c r="F11" s="1" t="n">
        <v>10</v>
      </c>
      <c r="G11" s="1" t="n">
        <v>10</v>
      </c>
      <c r="H11" s="1" t="n">
        <v>0</v>
      </c>
      <c r="I11" s="1" t="n">
        <v>0</v>
      </c>
      <c r="J11" s="1" t="n">
        <v>0</v>
      </c>
      <c r="K11" s="1" t="n">
        <f aca="false">ROUND((H11+I11+J11)/F11*100,2)</f>
        <v>0</v>
      </c>
      <c r="L11" s="1" t="n">
        <f aca="false">ROUND(100-K11,2)</f>
        <v>100</v>
      </c>
      <c r="M11" s="1" t="n">
        <v>0</v>
      </c>
    </row>
    <row r="12" customFormat="false" ht="14.25" hidden="false" customHeight="true" outlineLevel="0" collapsed="false">
      <c r="A12" s="1" t="s">
        <v>14</v>
      </c>
      <c r="B12" s="1" t="n">
        <v>11</v>
      </c>
      <c r="C12" s="3" t="s">
        <v>34</v>
      </c>
      <c r="D12" s="3" t="s">
        <v>35</v>
      </c>
      <c r="E12" s="1" t="s">
        <v>19</v>
      </c>
      <c r="F12" s="1" t="n">
        <v>18</v>
      </c>
      <c r="G12" s="1" t="n">
        <v>19</v>
      </c>
      <c r="H12" s="1" t="n">
        <v>0</v>
      </c>
      <c r="I12" s="1" t="n">
        <v>0</v>
      </c>
      <c r="J12" s="1" t="n">
        <v>1</v>
      </c>
      <c r="K12" s="1" t="n">
        <f aca="false">ROUND((H12+I12+J12)/F12*100,2)</f>
        <v>5.56</v>
      </c>
      <c r="L12" s="1" t="n">
        <f aca="false">ROUND(100-K12,2)</f>
        <v>94.44</v>
      </c>
      <c r="M12" s="1" t="n">
        <v>50</v>
      </c>
    </row>
    <row r="13" customFormat="false" ht="14.25" hidden="false" customHeight="true" outlineLevel="0" collapsed="false">
      <c r="A13" s="1" t="s">
        <v>14</v>
      </c>
      <c r="B13" s="1" t="n">
        <v>12</v>
      </c>
      <c r="C13" s="3" t="s">
        <v>36</v>
      </c>
      <c r="D13" s="3" t="s">
        <v>37</v>
      </c>
      <c r="E13" s="1" t="s">
        <v>19</v>
      </c>
      <c r="F13" s="1" t="n">
        <v>37</v>
      </c>
      <c r="G13" s="1" t="n">
        <v>34</v>
      </c>
      <c r="H13" s="1" t="n">
        <v>2</v>
      </c>
      <c r="I13" s="1" t="n">
        <v>3</v>
      </c>
      <c r="J13" s="1" t="n">
        <v>0</v>
      </c>
      <c r="K13" s="1" t="n">
        <f aca="false">ROUND((H13+I13+J13)/F13*100,2)</f>
        <v>13.51</v>
      </c>
      <c r="L13" s="1" t="n">
        <f aca="false">ROUND(100-K13,2)</f>
        <v>86.49</v>
      </c>
      <c r="M13" s="1" t="n">
        <v>66.67</v>
      </c>
    </row>
    <row r="14" customFormat="false" ht="14.25" hidden="false" customHeight="true" outlineLevel="0" collapsed="false">
      <c r="A14" s="1" t="s">
        <v>14</v>
      </c>
      <c r="B14" s="1" t="n">
        <v>13</v>
      </c>
      <c r="C14" s="3" t="s">
        <v>38</v>
      </c>
      <c r="D14" s="3" t="s">
        <v>39</v>
      </c>
      <c r="E14" s="1" t="s">
        <v>19</v>
      </c>
      <c r="F14" s="1" t="n">
        <v>36</v>
      </c>
      <c r="G14" s="1" t="n">
        <v>34</v>
      </c>
      <c r="H14" s="1" t="n">
        <v>3</v>
      </c>
      <c r="I14" s="1" t="n">
        <v>2</v>
      </c>
      <c r="J14" s="1" t="n">
        <v>0</v>
      </c>
      <c r="K14" s="1" t="n">
        <f aca="false">ROUND((H14+I14+J14)/F14*100,2)</f>
        <v>13.89</v>
      </c>
      <c r="L14" s="1" t="n">
        <f aca="false">ROUND(100-K14,2)</f>
        <v>86.11</v>
      </c>
      <c r="M14" s="1" t="n">
        <v>80</v>
      </c>
    </row>
    <row r="15" customFormat="false" ht="14.25" hidden="false" customHeight="true" outlineLevel="0" collapsed="false">
      <c r="A15" s="1" t="s">
        <v>14</v>
      </c>
      <c r="B15" s="1" t="n">
        <v>14</v>
      </c>
      <c r="C15" s="3" t="s">
        <v>40</v>
      </c>
      <c r="D15" s="3" t="s">
        <v>41</v>
      </c>
      <c r="E15" s="1" t="s">
        <v>19</v>
      </c>
      <c r="F15" s="1" t="n">
        <v>34</v>
      </c>
      <c r="G15" s="1" t="n">
        <v>33</v>
      </c>
      <c r="H15" s="1" t="n">
        <v>2</v>
      </c>
      <c r="I15" s="1" t="n">
        <v>1</v>
      </c>
      <c r="J15" s="1" t="n">
        <v>0</v>
      </c>
      <c r="K15" s="1" t="n">
        <f aca="false">ROUND((H15+I15+J15)/F15*100,2)</f>
        <v>8.82</v>
      </c>
      <c r="L15" s="1" t="n">
        <f aca="false">ROUND(100-K15,2)</f>
        <v>91.18</v>
      </c>
      <c r="M15" s="1" t="n">
        <v>66.67</v>
      </c>
    </row>
    <row r="16" customFormat="false" ht="14.25" hidden="false" customHeight="true" outlineLevel="0" collapsed="false">
      <c r="A16" s="1" t="s">
        <v>14</v>
      </c>
      <c r="B16" s="1" t="n">
        <v>15</v>
      </c>
      <c r="C16" s="3" t="s">
        <v>42</v>
      </c>
      <c r="D16" s="3" t="s">
        <v>43</v>
      </c>
      <c r="E16" s="1" t="s">
        <v>19</v>
      </c>
      <c r="F16" s="1" t="n">
        <v>37</v>
      </c>
      <c r="G16" s="1" t="n">
        <v>35</v>
      </c>
      <c r="H16" s="1" t="n">
        <v>2</v>
      </c>
      <c r="I16" s="1" t="n">
        <v>2</v>
      </c>
      <c r="J16" s="1" t="n">
        <v>0</v>
      </c>
      <c r="K16" s="1" t="n">
        <f aca="false">ROUND((H16+I16+J16)/F16*100,2)</f>
        <v>10.81</v>
      </c>
      <c r="L16" s="1" t="n">
        <f aca="false">ROUND(100-K16,2)</f>
        <v>89.19</v>
      </c>
      <c r="M16" s="1" t="n">
        <v>100</v>
      </c>
    </row>
    <row r="17" customFormat="false" ht="14.25" hidden="false" customHeight="true" outlineLevel="0" collapsed="false">
      <c r="A17" s="1" t="s">
        <v>14</v>
      </c>
      <c r="B17" s="1" t="n">
        <v>16</v>
      </c>
      <c r="C17" s="3" t="s">
        <v>44</v>
      </c>
      <c r="D17" s="3" t="s">
        <v>45</v>
      </c>
      <c r="E17" s="1" t="s">
        <v>19</v>
      </c>
      <c r="F17" s="1" t="n">
        <v>37</v>
      </c>
      <c r="G17" s="1" t="n">
        <v>31</v>
      </c>
      <c r="H17" s="1" t="n">
        <v>4</v>
      </c>
      <c r="I17" s="1" t="n">
        <v>6</v>
      </c>
      <c r="J17" s="1" t="n">
        <v>0</v>
      </c>
      <c r="K17" s="1" t="n">
        <f aca="false">ROUND((H17+I17+J17)/F17*100,2)</f>
        <v>27.03</v>
      </c>
      <c r="L17" s="1" t="n">
        <f aca="false">ROUND(100-K17,2)</f>
        <v>72.97</v>
      </c>
      <c r="M17" s="1" t="n">
        <v>100</v>
      </c>
    </row>
    <row r="18" customFormat="false" ht="14.25" hidden="false" customHeight="true" outlineLevel="0" collapsed="false">
      <c r="A18" s="1" t="s">
        <v>14</v>
      </c>
      <c r="B18" s="1" t="n">
        <v>17</v>
      </c>
      <c r="C18" s="3" t="s">
        <v>46</v>
      </c>
      <c r="D18" s="3" t="s">
        <v>47</v>
      </c>
      <c r="E18" s="1" t="s">
        <v>19</v>
      </c>
      <c r="F18" s="1" t="n">
        <v>33</v>
      </c>
      <c r="G18" s="1" t="n">
        <v>35</v>
      </c>
      <c r="H18" s="1" t="n">
        <v>3</v>
      </c>
      <c r="I18" s="1" t="n">
        <v>0</v>
      </c>
      <c r="J18" s="1" t="n">
        <v>2</v>
      </c>
      <c r="K18" s="1" t="n">
        <f aca="false">ROUND((H18+I18+J18)/F18*100,2)</f>
        <v>15.15</v>
      </c>
      <c r="L18" s="1" t="n">
        <f aca="false">ROUND(100-K18,2)</f>
        <v>84.85</v>
      </c>
      <c r="M18" s="1" t="n">
        <v>300</v>
      </c>
    </row>
    <row r="19" customFormat="false" ht="14.25" hidden="false" customHeight="true" outlineLevel="0" collapsed="false">
      <c r="A19" s="1" t="s">
        <v>14</v>
      </c>
      <c r="B19" s="1" t="n">
        <v>18</v>
      </c>
      <c r="C19" s="3" t="s">
        <v>48</v>
      </c>
      <c r="D19" s="3" t="s">
        <v>49</v>
      </c>
      <c r="E19" s="1" t="s">
        <v>19</v>
      </c>
      <c r="F19" s="1" t="n">
        <v>33</v>
      </c>
      <c r="G19" s="1" t="n">
        <v>36</v>
      </c>
      <c r="H19" s="1" t="n">
        <v>3</v>
      </c>
      <c r="I19" s="1" t="n">
        <v>0</v>
      </c>
      <c r="J19" s="1" t="n">
        <v>3</v>
      </c>
      <c r="K19" s="1" t="n">
        <f aca="false">ROUND((H19+I19+J19)/F19*100,2)</f>
        <v>18.18</v>
      </c>
      <c r="L19" s="1" t="n">
        <f aca="false">ROUND(100-K19,2)</f>
        <v>81.82</v>
      </c>
      <c r="M19" s="1" t="n">
        <v>133.33</v>
      </c>
    </row>
    <row r="20" customFormat="false" ht="14.25" hidden="false" customHeight="true" outlineLevel="0" collapsed="false">
      <c r="A20" s="1" t="s">
        <v>14</v>
      </c>
      <c r="B20" s="1" t="n">
        <v>19</v>
      </c>
      <c r="C20" s="3" t="s">
        <v>50</v>
      </c>
      <c r="D20" s="3" t="s">
        <v>51</v>
      </c>
      <c r="E20" s="1" t="s">
        <v>19</v>
      </c>
      <c r="F20" s="1" t="n">
        <v>34</v>
      </c>
      <c r="G20" s="1" t="n">
        <v>34</v>
      </c>
      <c r="H20" s="1" t="n">
        <v>4</v>
      </c>
      <c r="I20" s="1" t="n">
        <v>1</v>
      </c>
      <c r="J20" s="1" t="n">
        <v>1</v>
      </c>
      <c r="K20" s="1" t="n">
        <f aca="false">ROUND((H20+I20+J20)/F20*100,2)</f>
        <v>17.65</v>
      </c>
      <c r="L20" s="1" t="n">
        <f aca="false">ROUND(100-K20,2)</f>
        <v>82.35</v>
      </c>
      <c r="M20" s="1" t="n">
        <v>50</v>
      </c>
    </row>
    <row r="21" customFormat="false" ht="14.25" hidden="false" customHeight="true" outlineLevel="0" collapsed="false">
      <c r="A21" s="1" t="s">
        <v>14</v>
      </c>
      <c r="B21" s="1" t="n">
        <v>20</v>
      </c>
      <c r="C21" s="3" t="s">
        <v>52</v>
      </c>
      <c r="E21" s="1" t="s">
        <v>16</v>
      </c>
      <c r="F21" s="1" t="n">
        <f aca="false">IF(C21="","",LEN(C21))</f>
        <v>8</v>
      </c>
      <c r="G21" s="1" t="str">
        <f aca="false">IF(D21="","",LEN(D21))</f>
        <v/>
      </c>
    </row>
    <row r="22" customFormat="false" ht="14.25" hidden="false" customHeight="true" outlineLevel="0" collapsed="false">
      <c r="A22" s="1" t="s">
        <v>14</v>
      </c>
      <c r="B22" s="1" t="n">
        <v>21</v>
      </c>
      <c r="C22" s="3" t="s">
        <v>53</v>
      </c>
      <c r="D22" s="3" t="s">
        <v>54</v>
      </c>
      <c r="E22" s="1" t="s">
        <v>19</v>
      </c>
      <c r="F22" s="1" t="n">
        <v>32</v>
      </c>
      <c r="G22" s="1" t="n">
        <v>28</v>
      </c>
      <c r="H22" s="1" t="n">
        <v>2</v>
      </c>
      <c r="I22" s="1" t="n">
        <v>4</v>
      </c>
      <c r="J22" s="1" t="n">
        <v>0</v>
      </c>
      <c r="K22" s="1" t="n">
        <f aca="false">ROUND((H22+I22+J22)/F22*100,2)</f>
        <v>18.75</v>
      </c>
      <c r="L22" s="1" t="n">
        <f aca="false">ROUND(100-K22,2)</f>
        <v>81.25</v>
      </c>
      <c r="M22" s="1" t="n">
        <v>66.67</v>
      </c>
    </row>
    <row r="23" customFormat="false" ht="14.25" hidden="false" customHeight="true" outlineLevel="0" collapsed="false">
      <c r="A23" s="1" t="s">
        <v>14</v>
      </c>
      <c r="B23" s="1" t="n">
        <v>22</v>
      </c>
      <c r="C23" s="3" t="s">
        <v>55</v>
      </c>
      <c r="D23" s="3" t="s">
        <v>56</v>
      </c>
      <c r="E23" s="1" t="s">
        <v>19</v>
      </c>
      <c r="F23" s="1" t="n">
        <v>43</v>
      </c>
      <c r="G23" s="1" t="n">
        <v>37</v>
      </c>
      <c r="H23" s="1" t="n">
        <v>2</v>
      </c>
      <c r="I23" s="1" t="n">
        <v>6</v>
      </c>
      <c r="J23" s="1" t="n">
        <v>0</v>
      </c>
      <c r="K23" s="1" t="n">
        <f aca="false">ROUND((H23+I23+J23)/F23*100,2)</f>
        <v>18.6</v>
      </c>
      <c r="L23" s="1" t="n">
        <f aca="false">ROUND(100-K23,2)</f>
        <v>81.4</v>
      </c>
      <c r="M23" s="1" t="n">
        <v>57.14</v>
      </c>
    </row>
    <row r="24" customFormat="false" ht="14.25" hidden="false" customHeight="true" outlineLevel="0" collapsed="false">
      <c r="A24" s="1" t="s">
        <v>14</v>
      </c>
      <c r="B24" s="1" t="n">
        <v>23</v>
      </c>
      <c r="C24" s="3" t="s">
        <v>57</v>
      </c>
      <c r="D24" s="3" t="s">
        <v>58</v>
      </c>
      <c r="E24" s="1" t="s">
        <v>19</v>
      </c>
      <c r="F24" s="1" t="n">
        <v>35</v>
      </c>
      <c r="G24" s="1" t="n">
        <v>30</v>
      </c>
      <c r="H24" s="1" t="n">
        <v>4</v>
      </c>
      <c r="I24" s="1" t="n">
        <v>5</v>
      </c>
      <c r="J24" s="1" t="n">
        <v>0</v>
      </c>
      <c r="K24" s="1" t="n">
        <f aca="false">ROUND((H24+I24+J24)/F24*100,2)</f>
        <v>25.71</v>
      </c>
      <c r="L24" s="1" t="n">
        <f aca="false">ROUND(100-K24,2)</f>
        <v>74.29</v>
      </c>
      <c r="M24" s="1" t="n">
        <v>62.5</v>
      </c>
    </row>
    <row r="25" customFormat="false" ht="14.25" hidden="false" customHeight="true" outlineLevel="0" collapsed="false">
      <c r="A25" s="1" t="s">
        <v>14</v>
      </c>
      <c r="B25" s="1" t="n">
        <v>24</v>
      </c>
      <c r="C25" s="3" t="s">
        <v>59</v>
      </c>
      <c r="D25" s="3" t="s">
        <v>60</v>
      </c>
      <c r="E25" s="1" t="s">
        <v>19</v>
      </c>
      <c r="F25" s="1" t="n">
        <v>31</v>
      </c>
      <c r="G25" s="1" t="n">
        <v>33</v>
      </c>
      <c r="H25" s="1" t="n">
        <v>1</v>
      </c>
      <c r="I25" s="1" t="n">
        <v>0</v>
      </c>
      <c r="J25" s="1" t="n">
        <v>2</v>
      </c>
      <c r="K25" s="1" t="n">
        <f aca="false">ROUND((H25+I25+J25)/F25*100,2)</f>
        <v>9.68</v>
      </c>
      <c r="L25" s="1" t="n">
        <f aca="false">ROUND(100-K25,2)</f>
        <v>90.32</v>
      </c>
      <c r="M25" s="1" t="n">
        <v>100</v>
      </c>
    </row>
    <row r="26" customFormat="false" ht="14.25" hidden="false" customHeight="true" outlineLevel="0" collapsed="false">
      <c r="A26" s="1" t="s">
        <v>14</v>
      </c>
      <c r="B26" s="1" t="n">
        <v>25</v>
      </c>
      <c r="C26" s="3" t="s">
        <v>61</v>
      </c>
      <c r="D26" s="3" t="s">
        <v>61</v>
      </c>
      <c r="E26" s="1" t="s">
        <v>19</v>
      </c>
      <c r="F26" s="1" t="n">
        <v>6</v>
      </c>
      <c r="G26" s="1" t="n">
        <v>6</v>
      </c>
      <c r="H26" s="1" t="n">
        <v>0</v>
      </c>
      <c r="I26" s="1" t="n">
        <v>0</v>
      </c>
      <c r="J26" s="1" t="n">
        <v>0</v>
      </c>
      <c r="K26" s="1" t="n">
        <f aca="false">ROUND((H26+I26+J26)/F26*100,2)</f>
        <v>0</v>
      </c>
      <c r="L26" s="1" t="n">
        <f aca="false">ROUND(100-K26,2)</f>
        <v>100</v>
      </c>
      <c r="M26" s="1" t="n">
        <v>0</v>
      </c>
    </row>
    <row r="27" customFormat="false" ht="14.25" hidden="false" customHeight="true" outlineLevel="0" collapsed="false">
      <c r="A27" s="1" t="s">
        <v>14</v>
      </c>
      <c r="B27" s="1" t="n">
        <v>26</v>
      </c>
      <c r="C27" s="3" t="s">
        <v>62</v>
      </c>
      <c r="D27" s="3" t="s">
        <v>63</v>
      </c>
      <c r="E27" s="1" t="s">
        <v>19</v>
      </c>
      <c r="F27" s="1" t="n">
        <v>11</v>
      </c>
      <c r="G27" s="1" t="n">
        <v>10</v>
      </c>
      <c r="H27" s="1" t="n">
        <v>0</v>
      </c>
      <c r="I27" s="1" t="n">
        <v>1</v>
      </c>
      <c r="J27" s="1" t="n">
        <v>0</v>
      </c>
      <c r="K27" s="1" t="n">
        <f aca="false">ROUND((H27+I27+J27)/F27*100,2)</f>
        <v>9.09</v>
      </c>
      <c r="L27" s="1" t="n">
        <f aca="false">ROUND(100-K27,2)</f>
        <v>90.91</v>
      </c>
      <c r="M27" s="1" t="n">
        <v>100</v>
      </c>
    </row>
    <row r="28" customFormat="false" ht="14.25" hidden="false" customHeight="true" outlineLevel="0" collapsed="false">
      <c r="A28" s="1" t="s">
        <v>14</v>
      </c>
      <c r="B28" s="1" t="n">
        <v>27</v>
      </c>
      <c r="C28" s="3" t="s">
        <v>64</v>
      </c>
      <c r="D28" s="3" t="s">
        <v>65</v>
      </c>
      <c r="E28" s="1" t="s">
        <v>19</v>
      </c>
      <c r="F28" s="1" t="n">
        <v>29</v>
      </c>
      <c r="G28" s="1" t="n">
        <v>26</v>
      </c>
      <c r="H28" s="1" t="n">
        <v>1</v>
      </c>
      <c r="I28" s="1" t="n">
        <v>3</v>
      </c>
      <c r="J28" s="1" t="n">
        <v>0</v>
      </c>
      <c r="K28" s="1" t="n">
        <f aca="false">ROUND((H28+I28+J28)/F28*100,2)</f>
        <v>13.79</v>
      </c>
      <c r="L28" s="1" t="n">
        <f aca="false">ROUND(100-K28,2)</f>
        <v>86.21</v>
      </c>
      <c r="M28" s="1" t="n">
        <v>60</v>
      </c>
    </row>
    <row r="29" customFormat="false" ht="14.25" hidden="false" customHeight="true" outlineLevel="0" collapsed="false">
      <c r="A29" s="1" t="s">
        <v>14</v>
      </c>
      <c r="B29" s="1" t="n">
        <v>28</v>
      </c>
      <c r="C29" s="3" t="s">
        <v>66</v>
      </c>
      <c r="E29" s="1" t="s">
        <v>16</v>
      </c>
      <c r="F29" s="1" t="n">
        <f aca="false">IF(C29="","",LEN(C29))</f>
        <v>45</v>
      </c>
      <c r="G29" s="1" t="str">
        <f aca="false">IF(D29="","",LEN(D29))</f>
        <v/>
      </c>
    </row>
    <row r="30" customFormat="false" ht="14.25" hidden="false" customHeight="true" outlineLevel="0" collapsed="false">
      <c r="A30" s="1" t="s">
        <v>14</v>
      </c>
      <c r="B30" s="1" t="n">
        <v>29</v>
      </c>
      <c r="C30" s="3" t="s">
        <v>67</v>
      </c>
      <c r="D30" s="3" t="s">
        <v>68</v>
      </c>
      <c r="E30" s="1" t="s">
        <v>19</v>
      </c>
      <c r="F30" s="1" t="n">
        <v>7</v>
      </c>
      <c r="G30" s="1" t="n">
        <v>7</v>
      </c>
      <c r="H30" s="1" t="n">
        <v>1</v>
      </c>
      <c r="I30" s="1" t="n">
        <v>0</v>
      </c>
      <c r="J30" s="1" t="n">
        <v>0</v>
      </c>
      <c r="K30" s="1" t="n">
        <f aca="false">ROUND((H30+I30+J30)/F30*100,2)</f>
        <v>14.29</v>
      </c>
      <c r="L30" s="1" t="n">
        <f aca="false">ROUND(100-K30,2)</f>
        <v>85.71</v>
      </c>
      <c r="M30" s="1" t="n">
        <v>100</v>
      </c>
    </row>
    <row r="31" customFormat="false" ht="14.25" hidden="false" customHeight="true" outlineLevel="0" collapsed="false">
      <c r="A31" s="1" t="s">
        <v>14</v>
      </c>
      <c r="B31" s="1" t="n">
        <v>30</v>
      </c>
      <c r="C31" s="3" t="s">
        <v>69</v>
      </c>
      <c r="D31" s="3" t="s">
        <v>70</v>
      </c>
      <c r="E31" s="1" t="s">
        <v>19</v>
      </c>
      <c r="F31" s="1" t="n">
        <v>21</v>
      </c>
      <c r="G31" s="1" t="n">
        <v>21</v>
      </c>
      <c r="H31" s="1" t="n">
        <v>0</v>
      </c>
      <c r="I31" s="1" t="n">
        <v>0</v>
      </c>
      <c r="J31" s="1" t="n">
        <v>0</v>
      </c>
      <c r="K31" s="1" t="n">
        <f aca="false">ROUND((H31+I31+J31)/F31*100,2)</f>
        <v>0</v>
      </c>
      <c r="L31" s="1" t="n">
        <f aca="false">ROUND(100-K31,2)</f>
        <v>100</v>
      </c>
      <c r="M31" s="1" t="n">
        <v>0</v>
      </c>
    </row>
    <row r="32" customFormat="false" ht="14.25" hidden="false" customHeight="true" outlineLevel="0" collapsed="false">
      <c r="A32" s="1" t="s">
        <v>71</v>
      </c>
      <c r="B32" s="1" t="n">
        <v>1</v>
      </c>
      <c r="C32" s="3" t="s">
        <v>72</v>
      </c>
      <c r="E32" s="1" t="s">
        <v>16</v>
      </c>
      <c r="F32" s="1" t="n">
        <f aca="false">IF(C32="","",LEN(C32))</f>
        <v>11</v>
      </c>
      <c r="G32" s="1" t="str">
        <f aca="false">IF(D32="","",LEN(D32))</f>
        <v/>
      </c>
    </row>
    <row r="33" customFormat="false" ht="14.25" hidden="false" customHeight="true" outlineLevel="0" collapsed="false">
      <c r="A33" s="1" t="s">
        <v>71</v>
      </c>
      <c r="B33" s="1" t="n">
        <v>2</v>
      </c>
      <c r="C33" s="3" t="s">
        <v>73</v>
      </c>
      <c r="D33" s="3" t="s">
        <v>74</v>
      </c>
      <c r="E33" s="1" t="s">
        <v>19</v>
      </c>
      <c r="F33" s="1" t="n">
        <v>48</v>
      </c>
      <c r="G33" s="1" t="n">
        <v>45</v>
      </c>
      <c r="H33" s="1" t="n">
        <v>4</v>
      </c>
      <c r="I33" s="1" t="n">
        <v>3</v>
      </c>
      <c r="J33" s="1" t="n">
        <v>0</v>
      </c>
      <c r="K33" s="1" t="n">
        <f aca="false">ROUND((H33+I33+J33)/F33*100,2)</f>
        <v>14.58</v>
      </c>
      <c r="L33" s="1" t="n">
        <f aca="false">ROUND(100-K33,2)</f>
        <v>85.42</v>
      </c>
      <c r="M33" s="1" t="n">
        <v>28.57</v>
      </c>
    </row>
    <row r="34" customFormat="false" ht="14.25" hidden="false" customHeight="true" outlineLevel="0" collapsed="false">
      <c r="A34" s="1" t="s">
        <v>71</v>
      </c>
      <c r="B34" s="1" t="n">
        <v>3</v>
      </c>
      <c r="C34" s="3" t="s">
        <v>75</v>
      </c>
      <c r="D34" s="3" t="s">
        <v>75</v>
      </c>
      <c r="E34" s="1" t="s">
        <v>19</v>
      </c>
      <c r="F34" s="1" t="n">
        <v>7</v>
      </c>
      <c r="G34" s="1" t="n">
        <v>7</v>
      </c>
      <c r="H34" s="1" t="n">
        <v>0</v>
      </c>
      <c r="I34" s="1" t="n">
        <v>0</v>
      </c>
      <c r="J34" s="1" t="n">
        <v>0</v>
      </c>
      <c r="K34" s="1" t="n">
        <f aca="false">ROUND((H34+I34+J34)/F34*100,2)</f>
        <v>0</v>
      </c>
      <c r="L34" s="1" t="n">
        <f aca="false">ROUND(100-K34,2)</f>
        <v>100</v>
      </c>
      <c r="M34" s="1" t="n">
        <v>0</v>
      </c>
    </row>
    <row r="35" customFormat="false" ht="14.25" hidden="false" customHeight="true" outlineLevel="0" collapsed="false">
      <c r="A35" s="1" t="s">
        <v>71</v>
      </c>
      <c r="B35" s="1" t="n">
        <v>4</v>
      </c>
      <c r="C35" s="3" t="s">
        <v>76</v>
      </c>
      <c r="D35" s="3" t="s">
        <v>77</v>
      </c>
      <c r="E35" s="1" t="s">
        <v>19</v>
      </c>
      <c r="F35" s="1" t="n">
        <v>28</v>
      </c>
      <c r="G35" s="1" t="n">
        <v>28</v>
      </c>
      <c r="H35" s="1" t="n">
        <v>0</v>
      </c>
      <c r="I35" s="1" t="n">
        <v>0</v>
      </c>
      <c r="J35" s="1" t="n">
        <v>0</v>
      </c>
      <c r="K35" s="1" t="n">
        <f aca="false">ROUND((H35+I35+J35)/F35*100,2)</f>
        <v>0</v>
      </c>
      <c r="L35" s="1" t="n">
        <f aca="false">ROUND(100-K35,2)</f>
        <v>100</v>
      </c>
      <c r="M35" s="1" t="n">
        <v>40</v>
      </c>
    </row>
    <row r="36" customFormat="false" ht="14.25" hidden="false" customHeight="true" outlineLevel="0" collapsed="false">
      <c r="A36" s="1" t="s">
        <v>71</v>
      </c>
      <c r="B36" s="1" t="n">
        <v>5</v>
      </c>
      <c r="C36" s="3" t="s">
        <v>78</v>
      </c>
      <c r="E36" s="1" t="s">
        <v>16</v>
      </c>
      <c r="F36" s="1" t="n">
        <f aca="false">IF(C36="","",LEN(C36))</f>
        <v>8</v>
      </c>
      <c r="G36" s="1" t="str">
        <f aca="false">IF(D36="","",LEN(D36))</f>
        <v/>
      </c>
    </row>
    <row r="37" customFormat="false" ht="14.25" hidden="false" customHeight="true" outlineLevel="0" collapsed="false">
      <c r="A37" s="1" t="s">
        <v>71</v>
      </c>
      <c r="B37" s="1" t="n">
        <v>6</v>
      </c>
      <c r="C37" s="3" t="s">
        <v>79</v>
      </c>
      <c r="D37" s="3" t="s">
        <v>80</v>
      </c>
      <c r="E37" s="1" t="s">
        <v>19</v>
      </c>
      <c r="F37" s="1" t="n">
        <v>29</v>
      </c>
      <c r="G37" s="1" t="n">
        <v>29</v>
      </c>
      <c r="H37" s="1" t="n">
        <v>0</v>
      </c>
      <c r="I37" s="1" t="n">
        <v>0</v>
      </c>
      <c r="J37" s="1" t="n">
        <v>0</v>
      </c>
      <c r="K37" s="1" t="n">
        <f aca="false">ROUND((H37+I37+J37)/F37*100,2)</f>
        <v>0</v>
      </c>
      <c r="L37" s="1" t="n">
        <f aca="false">ROUND(100-K37,2)</f>
        <v>100</v>
      </c>
      <c r="M37" s="1" t="n">
        <v>0</v>
      </c>
    </row>
    <row r="38" customFormat="false" ht="14.25" hidden="false" customHeight="true" outlineLevel="0" collapsed="false">
      <c r="A38" s="1" t="s">
        <v>71</v>
      </c>
      <c r="B38" s="1" t="n">
        <v>7</v>
      </c>
      <c r="C38" s="3" t="s">
        <v>81</v>
      </c>
      <c r="D38" s="3" t="s">
        <v>82</v>
      </c>
      <c r="E38" s="1" t="s">
        <v>19</v>
      </c>
      <c r="F38" s="1" t="n">
        <v>34</v>
      </c>
      <c r="G38" s="1" t="n">
        <v>33</v>
      </c>
      <c r="H38" s="1" t="n">
        <v>0</v>
      </c>
      <c r="I38" s="1" t="n">
        <v>1</v>
      </c>
      <c r="J38" s="1" t="n">
        <v>0</v>
      </c>
      <c r="K38" s="1" t="n">
        <f aca="false">ROUND((H38+I38+J38)/F38*100,2)</f>
        <v>2.94</v>
      </c>
      <c r="L38" s="1" t="n">
        <f aca="false">ROUND(100-K38,2)</f>
        <v>97.06</v>
      </c>
      <c r="M38" s="1" t="n">
        <v>20</v>
      </c>
    </row>
    <row r="39" customFormat="false" ht="14.25" hidden="false" customHeight="true" outlineLevel="0" collapsed="false">
      <c r="A39" s="1" t="s">
        <v>71</v>
      </c>
      <c r="B39" s="1" t="n">
        <v>8</v>
      </c>
      <c r="C39" s="3" t="s">
        <v>83</v>
      </c>
      <c r="D39" s="3" t="s">
        <v>84</v>
      </c>
      <c r="E39" s="1" t="s">
        <v>19</v>
      </c>
      <c r="F39" s="1" t="n">
        <v>34</v>
      </c>
      <c r="G39" s="1" t="n">
        <v>34</v>
      </c>
      <c r="H39" s="1" t="n">
        <v>2</v>
      </c>
      <c r="I39" s="1" t="n">
        <v>1</v>
      </c>
      <c r="J39" s="1" t="n">
        <v>1</v>
      </c>
      <c r="K39" s="1" t="n">
        <f aca="false">ROUND((H39+I39+J39)/F39*100,2)</f>
        <v>11.76</v>
      </c>
      <c r="L39" s="1" t="n">
        <f aca="false">ROUND(100-K39,2)</f>
        <v>88.24</v>
      </c>
      <c r="M39" s="1" t="n">
        <v>33.33</v>
      </c>
    </row>
    <row r="40" customFormat="false" ht="14.25" hidden="false" customHeight="true" outlineLevel="0" collapsed="false">
      <c r="A40" s="1" t="s">
        <v>71</v>
      </c>
      <c r="B40" s="1" t="n">
        <v>9</v>
      </c>
      <c r="C40" s="3" t="s">
        <v>85</v>
      </c>
      <c r="D40" s="3" t="s">
        <v>86</v>
      </c>
      <c r="E40" s="1" t="s">
        <v>19</v>
      </c>
      <c r="F40" s="1" t="n">
        <v>33</v>
      </c>
      <c r="G40" s="1" t="n">
        <v>34</v>
      </c>
      <c r="H40" s="1" t="n">
        <v>1</v>
      </c>
      <c r="I40" s="1" t="n">
        <v>1</v>
      </c>
      <c r="J40" s="1" t="n">
        <v>2</v>
      </c>
      <c r="K40" s="1" t="n">
        <f aca="false">ROUND((H40+I40+J40)/F40*100,2)</f>
        <v>12.12</v>
      </c>
      <c r="L40" s="1" t="n">
        <f aca="false">ROUND(100-K40,2)</f>
        <v>87.88</v>
      </c>
      <c r="M40" s="1" t="n">
        <v>50</v>
      </c>
    </row>
    <row r="41" customFormat="false" ht="14.25" hidden="false" customHeight="true" outlineLevel="0" collapsed="false">
      <c r="A41" s="1" t="s">
        <v>71</v>
      </c>
      <c r="B41" s="1" t="n">
        <v>10</v>
      </c>
      <c r="C41" s="3" t="s">
        <v>87</v>
      </c>
      <c r="D41" s="3" t="s">
        <v>88</v>
      </c>
      <c r="E41" s="1" t="s">
        <v>19</v>
      </c>
      <c r="F41" s="1" t="n">
        <v>37</v>
      </c>
      <c r="G41" s="1" t="n">
        <v>33</v>
      </c>
      <c r="H41" s="1" t="n">
        <v>3</v>
      </c>
      <c r="I41" s="1" t="n">
        <v>4</v>
      </c>
      <c r="J41" s="1" t="n">
        <v>0</v>
      </c>
      <c r="K41" s="1" t="n">
        <f aca="false">ROUND((H41+I41+J41)/F41*100,2)</f>
        <v>18.92</v>
      </c>
      <c r="L41" s="1" t="n">
        <f aca="false">ROUND(100-K41,2)</f>
        <v>81.08</v>
      </c>
      <c r="M41" s="1" t="n">
        <v>66.67</v>
      </c>
    </row>
    <row r="42" customFormat="false" ht="14.25" hidden="false" customHeight="true" outlineLevel="0" collapsed="false">
      <c r="A42" s="1" t="s">
        <v>71</v>
      </c>
      <c r="B42" s="1" t="n">
        <v>11</v>
      </c>
      <c r="C42" s="3" t="s">
        <v>89</v>
      </c>
      <c r="D42" s="3" t="s">
        <v>90</v>
      </c>
      <c r="E42" s="1" t="s">
        <v>19</v>
      </c>
      <c r="F42" s="1" t="n">
        <v>41</v>
      </c>
      <c r="G42" s="1" t="n">
        <v>39</v>
      </c>
      <c r="H42" s="1" t="n">
        <v>3</v>
      </c>
      <c r="I42" s="1" t="n">
        <v>2</v>
      </c>
      <c r="J42" s="1" t="n">
        <v>0</v>
      </c>
      <c r="K42" s="1" t="n">
        <f aca="false">ROUND((H42+I42+J42)/F42*100,2)</f>
        <v>12.2</v>
      </c>
      <c r="L42" s="1" t="n">
        <f aca="false">ROUND(100-K42,2)</f>
        <v>87.8</v>
      </c>
      <c r="M42" s="1" t="n">
        <v>75</v>
      </c>
    </row>
    <row r="43" customFormat="false" ht="14.25" hidden="false" customHeight="true" outlineLevel="0" collapsed="false">
      <c r="A43" s="1" t="s">
        <v>71</v>
      </c>
      <c r="B43" s="1" t="n">
        <v>12</v>
      </c>
      <c r="C43" s="3" t="s">
        <v>91</v>
      </c>
      <c r="D43" s="3" t="s">
        <v>92</v>
      </c>
      <c r="E43" s="1" t="s">
        <v>19</v>
      </c>
      <c r="F43" s="1" t="n">
        <v>32</v>
      </c>
      <c r="G43" s="1" t="n">
        <v>33</v>
      </c>
      <c r="H43" s="1" t="n">
        <v>1</v>
      </c>
      <c r="I43" s="1" t="n">
        <v>0</v>
      </c>
      <c r="J43" s="1" t="n">
        <v>1</v>
      </c>
      <c r="K43" s="1" t="n">
        <f aca="false">ROUND((H43+I43+J43)/F43*100,2)</f>
        <v>6.25</v>
      </c>
      <c r="L43" s="1" t="n">
        <f aca="false">ROUND(100-K43,2)</f>
        <v>93.75</v>
      </c>
      <c r="M43" s="1" t="n">
        <v>25</v>
      </c>
    </row>
    <row r="44" customFormat="false" ht="14.25" hidden="false" customHeight="true" outlineLevel="0" collapsed="false">
      <c r="A44" s="1" t="s">
        <v>71</v>
      </c>
      <c r="B44" s="1" t="n">
        <v>13</v>
      </c>
      <c r="C44" s="3" t="s">
        <v>93</v>
      </c>
      <c r="D44" s="3" t="s">
        <v>94</v>
      </c>
      <c r="E44" s="1" t="s">
        <v>19</v>
      </c>
      <c r="F44" s="1" t="n">
        <v>9</v>
      </c>
      <c r="G44" s="1" t="n">
        <v>7</v>
      </c>
      <c r="H44" s="1" t="n">
        <v>0</v>
      </c>
      <c r="I44" s="1" t="n">
        <v>2</v>
      </c>
      <c r="J44" s="1" t="n">
        <v>0</v>
      </c>
      <c r="K44" s="1" t="n">
        <f aca="false">ROUND((H44+I44+J44)/F44*100,2)</f>
        <v>22.22</v>
      </c>
      <c r="L44" s="1" t="n">
        <f aca="false">ROUND(100-K44,2)</f>
        <v>77.78</v>
      </c>
      <c r="M44" s="1" t="n">
        <v>100</v>
      </c>
    </row>
    <row r="45" customFormat="false" ht="14.25" hidden="false" customHeight="true" outlineLevel="0" collapsed="false">
      <c r="A45" s="1" t="s">
        <v>71</v>
      </c>
      <c r="B45" s="1" t="n">
        <v>14</v>
      </c>
      <c r="C45" s="3" t="s">
        <v>95</v>
      </c>
      <c r="D45" s="3" t="s">
        <v>96</v>
      </c>
      <c r="E45" s="1" t="s">
        <v>19</v>
      </c>
      <c r="F45" s="1" t="n">
        <v>10</v>
      </c>
      <c r="G45" s="1" t="n">
        <v>5</v>
      </c>
      <c r="H45" s="1" t="n">
        <v>0</v>
      </c>
      <c r="I45" s="1" t="n">
        <v>5</v>
      </c>
      <c r="J45" s="1" t="n">
        <v>0</v>
      </c>
      <c r="K45" s="1" t="n">
        <f aca="false">ROUND((H45+I45+J45)/F45*100,2)</f>
        <v>50</v>
      </c>
      <c r="L45" s="1" t="n">
        <f aca="false">ROUND(100-K45,2)</f>
        <v>50</v>
      </c>
      <c r="M45" s="1" t="n">
        <v>100</v>
      </c>
      <c r="N45" s="1" t="s">
        <v>97</v>
      </c>
    </row>
    <row r="46" customFormat="false" ht="14.25" hidden="false" customHeight="true" outlineLevel="0" collapsed="false">
      <c r="A46" s="1" t="s">
        <v>71</v>
      </c>
      <c r="B46" s="1" t="n">
        <v>15</v>
      </c>
      <c r="C46" s="3" t="s">
        <v>98</v>
      </c>
      <c r="D46" s="3" t="s">
        <v>99</v>
      </c>
      <c r="E46" s="1" t="s">
        <v>19</v>
      </c>
      <c r="F46" s="1" t="n">
        <v>7</v>
      </c>
      <c r="G46" s="1" t="n">
        <v>7</v>
      </c>
      <c r="H46" s="1" t="n">
        <v>1</v>
      </c>
      <c r="I46" s="1" t="n">
        <v>0</v>
      </c>
      <c r="J46" s="1" t="n">
        <v>0</v>
      </c>
      <c r="K46" s="1" t="n">
        <f aca="false">ROUND((H46+I46+J46)/F46*100,2)</f>
        <v>14.29</v>
      </c>
      <c r="L46" s="1" t="n">
        <f aca="false">ROUND(100-K46,2)</f>
        <v>85.71</v>
      </c>
      <c r="M46" s="1" t="n">
        <v>100</v>
      </c>
    </row>
    <row r="47" customFormat="false" ht="14.25" hidden="false" customHeight="true" outlineLevel="0" collapsed="false">
      <c r="A47" s="1" t="s">
        <v>71</v>
      </c>
      <c r="B47" s="1" t="n">
        <v>16</v>
      </c>
      <c r="C47" s="3" t="s">
        <v>100</v>
      </c>
      <c r="D47" s="3" t="s">
        <v>101</v>
      </c>
      <c r="E47" s="1" t="s">
        <v>19</v>
      </c>
      <c r="F47" s="1" t="n">
        <v>32</v>
      </c>
      <c r="G47" s="1" t="n">
        <v>31</v>
      </c>
      <c r="H47" s="1" t="n">
        <v>1</v>
      </c>
      <c r="I47" s="1" t="n">
        <v>1</v>
      </c>
      <c r="J47" s="1" t="n">
        <v>0</v>
      </c>
      <c r="K47" s="1" t="n">
        <f aca="false">ROUND((H47+I47+J47)/F47*100,2)</f>
        <v>6.25</v>
      </c>
      <c r="L47" s="1" t="n">
        <f aca="false">ROUND(100-K47,2)</f>
        <v>93.75</v>
      </c>
      <c r="M47" s="1" t="n">
        <v>66.67</v>
      </c>
    </row>
    <row r="48" customFormat="false" ht="14.25" hidden="false" customHeight="true" outlineLevel="0" collapsed="false">
      <c r="A48" s="1" t="s">
        <v>71</v>
      </c>
      <c r="B48" s="1" t="n">
        <v>17</v>
      </c>
      <c r="C48" s="3" t="s">
        <v>102</v>
      </c>
      <c r="D48" s="3" t="s">
        <v>103</v>
      </c>
      <c r="E48" s="1" t="s">
        <v>19</v>
      </c>
      <c r="F48" s="1" t="n">
        <v>82</v>
      </c>
      <c r="G48" s="1" t="n">
        <v>79</v>
      </c>
      <c r="H48" s="1" t="n">
        <v>4</v>
      </c>
      <c r="I48" s="1" t="n">
        <v>4</v>
      </c>
      <c r="J48" s="1" t="n">
        <v>1</v>
      </c>
      <c r="K48" s="1" t="n">
        <f aca="false">ROUND((H48+I48+J48)/F48*100,2)</f>
        <v>10.98</v>
      </c>
      <c r="L48" s="1" t="n">
        <f aca="false">ROUND(100-K48,2)</f>
        <v>89.02</v>
      </c>
      <c r="M48" s="1" t="n">
        <v>40</v>
      </c>
      <c r="N48" s="1" t="s">
        <v>104</v>
      </c>
    </row>
    <row r="49" customFormat="false" ht="14.25" hidden="false" customHeight="true" outlineLevel="0" collapsed="false">
      <c r="A49" s="1" t="s">
        <v>71</v>
      </c>
      <c r="B49" s="1" t="n">
        <v>18</v>
      </c>
      <c r="C49" s="3" t="s">
        <v>105</v>
      </c>
      <c r="D49" s="3" t="s">
        <v>106</v>
      </c>
      <c r="E49" s="1" t="s">
        <v>19</v>
      </c>
      <c r="F49" s="1" t="n">
        <v>34</v>
      </c>
      <c r="G49" s="1" t="n">
        <v>33</v>
      </c>
      <c r="H49" s="1" t="n">
        <v>5</v>
      </c>
      <c r="I49" s="1" t="n">
        <v>1</v>
      </c>
      <c r="J49" s="1" t="n">
        <v>0</v>
      </c>
      <c r="K49" s="1" t="n">
        <f aca="false">ROUND((H49+I49+J49)/F49*100,2)</f>
        <v>17.65</v>
      </c>
      <c r="L49" s="1" t="n">
        <f aca="false">ROUND(100-K49,2)</f>
        <v>82.35</v>
      </c>
      <c r="M49" s="1" t="n">
        <v>75</v>
      </c>
    </row>
    <row r="50" customFormat="false" ht="14.25" hidden="false" customHeight="true" outlineLevel="0" collapsed="false">
      <c r="A50" s="1" t="s">
        <v>71</v>
      </c>
      <c r="B50" s="1" t="n">
        <v>19</v>
      </c>
      <c r="C50" s="3" t="s">
        <v>107</v>
      </c>
      <c r="D50" s="3" t="s">
        <v>107</v>
      </c>
      <c r="E50" s="1" t="s">
        <v>19</v>
      </c>
      <c r="F50" s="1" t="n">
        <v>7</v>
      </c>
      <c r="G50" s="1" t="n">
        <v>7</v>
      </c>
      <c r="H50" s="1" t="n">
        <v>0</v>
      </c>
      <c r="I50" s="1" t="n">
        <v>0</v>
      </c>
      <c r="J50" s="1" t="n">
        <v>0</v>
      </c>
      <c r="K50" s="1" t="n">
        <f aca="false">ROUND((H50+I50+J50)/F50*100,2)</f>
        <v>0</v>
      </c>
      <c r="L50" s="1" t="n">
        <f aca="false">ROUND(100-K50,2)</f>
        <v>100</v>
      </c>
      <c r="M50" s="1" t="n">
        <v>0</v>
      </c>
    </row>
    <row r="51" customFormat="false" ht="14.25" hidden="false" customHeight="true" outlineLevel="0" collapsed="false">
      <c r="A51" s="1" t="s">
        <v>71</v>
      </c>
      <c r="B51" s="1" t="n">
        <v>20</v>
      </c>
      <c r="C51" s="3" t="s">
        <v>108</v>
      </c>
      <c r="D51" s="3" t="s">
        <v>109</v>
      </c>
      <c r="E51" s="1" t="s">
        <v>19</v>
      </c>
      <c r="F51" s="1" t="n">
        <v>78</v>
      </c>
      <c r="G51" s="1" t="n">
        <v>77</v>
      </c>
      <c r="H51" s="1" t="n">
        <v>4</v>
      </c>
      <c r="I51" s="1" t="n">
        <v>1</v>
      </c>
      <c r="J51" s="1" t="n">
        <v>0</v>
      </c>
      <c r="K51" s="1" t="n">
        <f aca="false">ROUND((H51+I51+J51)/F51*100,2)</f>
        <v>6.41</v>
      </c>
      <c r="L51" s="1" t="n">
        <f aca="false">ROUND(100-K51,2)</f>
        <v>93.59</v>
      </c>
      <c r="M51" s="1" t="n">
        <v>25</v>
      </c>
      <c r="N51" s="1" t="s">
        <v>104</v>
      </c>
    </row>
    <row r="52" customFormat="false" ht="14.25" hidden="false" customHeight="true" outlineLevel="0" collapsed="false">
      <c r="A52" s="1" t="s">
        <v>71</v>
      </c>
      <c r="B52" s="1" t="n">
        <v>21</v>
      </c>
      <c r="C52" s="3" t="s">
        <v>110</v>
      </c>
      <c r="D52" s="3" t="s">
        <v>111</v>
      </c>
      <c r="E52" s="1" t="s">
        <v>19</v>
      </c>
      <c r="F52" s="1" t="n">
        <v>12</v>
      </c>
      <c r="G52" s="1" t="n">
        <v>10</v>
      </c>
      <c r="H52" s="1" t="n">
        <v>1</v>
      </c>
      <c r="I52" s="1" t="n">
        <v>2</v>
      </c>
      <c r="J52" s="1" t="n">
        <v>0</v>
      </c>
      <c r="K52" s="1" t="n">
        <f aca="false">ROUND((H52+I52+J52)/F52*100,2)</f>
        <v>25</v>
      </c>
      <c r="L52" s="1" t="n">
        <f aca="false">ROUND(100-K52,2)</f>
        <v>75</v>
      </c>
      <c r="M52" s="1" t="n">
        <v>50</v>
      </c>
    </row>
    <row r="53" customFormat="false" ht="14.25" hidden="false" customHeight="true" outlineLevel="0" collapsed="false">
      <c r="A53" s="1" t="s">
        <v>71</v>
      </c>
      <c r="B53" s="1" t="n">
        <v>22</v>
      </c>
      <c r="C53" s="3" t="s">
        <v>112</v>
      </c>
      <c r="D53" s="3" t="s">
        <v>113</v>
      </c>
      <c r="E53" s="1" t="s">
        <v>19</v>
      </c>
      <c r="F53" s="1" t="n">
        <v>36</v>
      </c>
      <c r="G53" s="1" t="n">
        <v>37</v>
      </c>
      <c r="H53" s="1" t="n">
        <v>0</v>
      </c>
      <c r="I53" s="1" t="n">
        <v>0</v>
      </c>
      <c r="J53" s="1" t="n">
        <v>1</v>
      </c>
      <c r="K53" s="1" t="n">
        <f aca="false">ROUND((H53+I53+J53)/F53*100,2)</f>
        <v>2.78</v>
      </c>
      <c r="L53" s="1" t="n">
        <f aca="false">ROUND(100-K53,2)</f>
        <v>97.22</v>
      </c>
      <c r="M53" s="1" t="n">
        <v>25</v>
      </c>
    </row>
    <row r="54" customFormat="false" ht="14.25" hidden="false" customHeight="true" outlineLevel="0" collapsed="false">
      <c r="A54" s="1" t="s">
        <v>71</v>
      </c>
      <c r="B54" s="1" t="n">
        <v>23</v>
      </c>
      <c r="C54" s="3" t="s">
        <v>114</v>
      </c>
      <c r="D54" s="3" t="s">
        <v>115</v>
      </c>
      <c r="E54" s="1" t="s">
        <v>19</v>
      </c>
      <c r="F54" s="1" t="n">
        <v>7</v>
      </c>
      <c r="G54" s="1" t="n">
        <v>7</v>
      </c>
      <c r="H54" s="1" t="n">
        <v>2</v>
      </c>
      <c r="I54" s="1" t="n">
        <v>0</v>
      </c>
      <c r="J54" s="1" t="n">
        <v>0</v>
      </c>
      <c r="K54" s="1" t="n">
        <f aca="false">ROUND((H54+I54+J54)/F54*100,2)</f>
        <v>28.57</v>
      </c>
      <c r="L54" s="1" t="n">
        <f aca="false">ROUND(100-K54,2)</f>
        <v>71.43</v>
      </c>
      <c r="M54" s="1" t="n">
        <v>100</v>
      </c>
    </row>
    <row r="55" customFormat="false" ht="14.25" hidden="false" customHeight="true" outlineLevel="0" collapsed="false">
      <c r="A55" s="1" t="s">
        <v>71</v>
      </c>
      <c r="B55" s="1" t="n">
        <v>24</v>
      </c>
      <c r="C55" s="3" t="s">
        <v>116</v>
      </c>
      <c r="D55" s="3" t="s">
        <v>117</v>
      </c>
      <c r="E55" s="1" t="s">
        <v>19</v>
      </c>
      <c r="F55" s="1" t="n">
        <v>42</v>
      </c>
      <c r="G55" s="1" t="n">
        <v>39</v>
      </c>
      <c r="H55" s="1" t="n">
        <v>2</v>
      </c>
      <c r="I55" s="1" t="n">
        <v>3</v>
      </c>
      <c r="J55" s="1" t="n">
        <v>0</v>
      </c>
      <c r="K55" s="1" t="n">
        <f aca="false">ROUND((H55+I55+J55)/F55*100,2)</f>
        <v>11.9</v>
      </c>
      <c r="L55" s="1" t="n">
        <f aca="false">ROUND(100-K55,2)</f>
        <v>88.1</v>
      </c>
      <c r="M55" s="1" t="n">
        <v>42.86</v>
      </c>
    </row>
    <row r="56" customFormat="false" ht="14.25" hidden="false" customHeight="true" outlineLevel="0" collapsed="false">
      <c r="A56" s="1" t="s">
        <v>71</v>
      </c>
      <c r="B56" s="1" t="n">
        <v>25</v>
      </c>
      <c r="C56" s="3" t="s">
        <v>118</v>
      </c>
      <c r="D56" s="3" t="s">
        <v>119</v>
      </c>
      <c r="E56" s="1" t="s">
        <v>19</v>
      </c>
      <c r="F56" s="1" t="n">
        <v>36</v>
      </c>
      <c r="G56" s="1" t="n">
        <v>37</v>
      </c>
      <c r="H56" s="1" t="n">
        <v>6</v>
      </c>
      <c r="I56" s="1" t="n">
        <v>0</v>
      </c>
      <c r="J56" s="1" t="n">
        <v>1</v>
      </c>
      <c r="K56" s="1" t="n">
        <f aca="false">ROUND((H56+I56+J56)/F56*100,2)</f>
        <v>19.44</v>
      </c>
      <c r="L56" s="1" t="n">
        <f aca="false">ROUND(100-K56,2)</f>
        <v>80.56</v>
      </c>
      <c r="M56" s="1" t="n">
        <v>80</v>
      </c>
    </row>
    <row r="57" customFormat="false" ht="14.25" hidden="false" customHeight="true" outlineLevel="0" collapsed="false">
      <c r="A57" s="1" t="s">
        <v>71</v>
      </c>
      <c r="B57" s="1" t="n">
        <v>26</v>
      </c>
      <c r="C57" s="3" t="s">
        <v>120</v>
      </c>
      <c r="D57" s="3" t="s">
        <v>121</v>
      </c>
      <c r="E57" s="1" t="s">
        <v>19</v>
      </c>
      <c r="F57" s="1" t="n">
        <v>86</v>
      </c>
      <c r="G57" s="1" t="n">
        <v>78</v>
      </c>
      <c r="H57" s="1" t="n">
        <v>9</v>
      </c>
      <c r="I57" s="1" t="n">
        <v>12</v>
      </c>
      <c r="J57" s="1" t="n">
        <v>4</v>
      </c>
      <c r="K57" s="1" t="n">
        <f aca="false">ROUND((H57+I57+J57)/F57*100,2)</f>
        <v>29.07</v>
      </c>
      <c r="L57" s="1" t="n">
        <f aca="false">ROUND(100-K57,2)</f>
        <v>70.93</v>
      </c>
      <c r="M57" s="1" t="n">
        <v>100</v>
      </c>
      <c r="N57" s="1" t="s">
        <v>104</v>
      </c>
    </row>
    <row r="58" customFormat="false" ht="14.25" hidden="false" customHeight="true" outlineLevel="0" collapsed="false">
      <c r="A58" s="1" t="s">
        <v>71</v>
      </c>
      <c r="B58" s="1" t="n">
        <v>27</v>
      </c>
      <c r="C58" s="3" t="s">
        <v>122</v>
      </c>
      <c r="D58" s="3" t="s">
        <v>123</v>
      </c>
      <c r="E58" s="1" t="s">
        <v>19</v>
      </c>
      <c r="F58" s="1" t="n">
        <v>65</v>
      </c>
      <c r="G58" s="1" t="n">
        <v>62</v>
      </c>
      <c r="H58" s="1" t="n">
        <v>4</v>
      </c>
      <c r="I58" s="1" t="n">
        <v>3</v>
      </c>
      <c r="J58" s="1" t="n">
        <v>0</v>
      </c>
      <c r="K58" s="1" t="n">
        <f aca="false">ROUND((H58+I58+J58)/F58*100,2)</f>
        <v>10.77</v>
      </c>
      <c r="L58" s="1" t="n">
        <f aca="false">ROUND(100-K58,2)</f>
        <v>89.23</v>
      </c>
      <c r="M58" s="1" t="n">
        <v>25</v>
      </c>
    </row>
    <row r="59" customFormat="false" ht="14.25" hidden="false" customHeight="true" outlineLevel="0" collapsed="false">
      <c r="A59" s="1" t="s">
        <v>71</v>
      </c>
      <c r="B59" s="1" t="n">
        <v>28</v>
      </c>
      <c r="C59" s="3" t="s">
        <v>124</v>
      </c>
      <c r="D59" s="3" t="s">
        <v>125</v>
      </c>
      <c r="E59" s="1" t="s">
        <v>19</v>
      </c>
      <c r="F59" s="1" t="n">
        <v>34</v>
      </c>
      <c r="G59" s="1" t="n">
        <v>27</v>
      </c>
      <c r="H59" s="1" t="n">
        <v>4</v>
      </c>
      <c r="I59" s="1" t="n">
        <v>8</v>
      </c>
      <c r="J59" s="1" t="n">
        <v>1</v>
      </c>
      <c r="K59" s="1" t="n">
        <f aca="false">ROUND((H59+I59+J59)/F59*100,2)</f>
        <v>38.24</v>
      </c>
      <c r="L59" s="1" t="n">
        <f aca="false">ROUND(100-K59,2)</f>
        <v>61.76</v>
      </c>
      <c r="M59" s="1" t="n">
        <v>100</v>
      </c>
    </row>
    <row r="60" customFormat="false" ht="14.25" hidden="false" customHeight="true" outlineLevel="0" collapsed="false">
      <c r="A60" s="1" t="s">
        <v>71</v>
      </c>
      <c r="B60" s="1" t="n">
        <v>29</v>
      </c>
      <c r="C60" s="3" t="s">
        <v>126</v>
      </c>
      <c r="D60" s="3" t="s">
        <v>127</v>
      </c>
      <c r="E60" s="1" t="s">
        <v>19</v>
      </c>
      <c r="F60" s="1" t="n">
        <v>36</v>
      </c>
      <c r="G60" s="1" t="n">
        <v>36</v>
      </c>
      <c r="H60" s="1" t="n">
        <v>1</v>
      </c>
      <c r="I60" s="1" t="n">
        <v>0</v>
      </c>
      <c r="J60" s="1" t="n">
        <v>0</v>
      </c>
      <c r="K60" s="1" t="n">
        <f aca="false">ROUND((H60+I60+J60)/F60*100,2)</f>
        <v>2.78</v>
      </c>
      <c r="L60" s="1" t="n">
        <f aca="false">ROUND(100-K60,2)</f>
        <v>97.22</v>
      </c>
      <c r="M60" s="1" t="n">
        <v>16.67</v>
      </c>
    </row>
    <row r="61" customFormat="false" ht="14.25" hidden="false" customHeight="true" outlineLevel="0" collapsed="false">
      <c r="A61" s="1" t="s">
        <v>71</v>
      </c>
      <c r="B61" s="1" t="n">
        <v>30</v>
      </c>
      <c r="C61" s="3" t="s">
        <v>128</v>
      </c>
      <c r="D61" s="3" t="s">
        <v>129</v>
      </c>
      <c r="E61" s="1" t="s">
        <v>19</v>
      </c>
      <c r="F61" s="1" t="n">
        <v>93</v>
      </c>
      <c r="G61" s="1" t="n">
        <v>93</v>
      </c>
      <c r="H61" s="1" t="n">
        <v>5</v>
      </c>
      <c r="I61" s="1" t="n">
        <v>0</v>
      </c>
      <c r="J61" s="1" t="n">
        <v>0</v>
      </c>
      <c r="K61" s="1" t="n">
        <f aca="false">ROUND((H61+I61+J61)/F61*100,2)</f>
        <v>5.38</v>
      </c>
      <c r="L61" s="1" t="n">
        <f aca="false">ROUND(100-K61,2)</f>
        <v>94.62</v>
      </c>
      <c r="M61" s="1" t="n">
        <v>100</v>
      </c>
      <c r="N61" s="1" t="s">
        <v>104</v>
      </c>
    </row>
    <row r="62" customFormat="false" ht="14.25" hidden="false" customHeight="true" outlineLevel="0" collapsed="false">
      <c r="A62" s="1" t="s">
        <v>130</v>
      </c>
      <c r="B62" s="1" t="n">
        <v>1</v>
      </c>
      <c r="C62" s="3" t="s">
        <v>131</v>
      </c>
      <c r="D62" s="3" t="s">
        <v>132</v>
      </c>
      <c r="E62" s="1" t="s">
        <v>19</v>
      </c>
      <c r="F62" s="1" t="n">
        <v>17</v>
      </c>
      <c r="G62" s="1" t="n">
        <v>17</v>
      </c>
      <c r="H62" s="1" t="n">
        <v>0</v>
      </c>
      <c r="I62" s="1" t="n">
        <v>0</v>
      </c>
      <c r="J62" s="1" t="n">
        <v>0</v>
      </c>
      <c r="K62" s="1" t="n">
        <f aca="false">ROUND((H62+I62+J62)/F62*100,2)</f>
        <v>0</v>
      </c>
      <c r="L62" s="1" t="n">
        <f aca="false">ROUND(100-K62,2)</f>
        <v>100</v>
      </c>
      <c r="M62" s="1" t="n">
        <v>100</v>
      </c>
    </row>
    <row r="63" customFormat="false" ht="14.25" hidden="false" customHeight="true" outlineLevel="0" collapsed="false">
      <c r="A63" s="1" t="s">
        <v>130</v>
      </c>
      <c r="B63" s="1" t="n">
        <v>2</v>
      </c>
      <c r="C63" s="3" t="s">
        <v>133</v>
      </c>
      <c r="E63" s="1" t="s">
        <v>16</v>
      </c>
      <c r="F63" s="1" t="n">
        <f aca="false">IF(C63="","",LEN(C63))</f>
        <v>42</v>
      </c>
      <c r="G63" s="1" t="str">
        <f aca="false">IF(D63="","",LEN(D63))</f>
        <v/>
      </c>
    </row>
    <row r="64" customFormat="false" ht="14.25" hidden="false" customHeight="true" outlineLevel="0" collapsed="false">
      <c r="A64" s="1" t="s">
        <v>130</v>
      </c>
      <c r="B64" s="1" t="n">
        <v>3</v>
      </c>
      <c r="C64" s="3" t="s">
        <v>134</v>
      </c>
      <c r="D64" s="3" t="s">
        <v>135</v>
      </c>
      <c r="E64" s="1" t="s">
        <v>19</v>
      </c>
      <c r="F64" s="1" t="n">
        <v>30</v>
      </c>
      <c r="G64" s="1" t="n">
        <v>25</v>
      </c>
      <c r="H64" s="1" t="n">
        <v>13</v>
      </c>
      <c r="I64" s="1" t="n">
        <v>5</v>
      </c>
      <c r="J64" s="1" t="n">
        <v>0</v>
      </c>
      <c r="K64" s="1" t="n">
        <f aca="false">ROUND((H64+I64+J64)/F64*100,2)</f>
        <v>60</v>
      </c>
      <c r="L64" s="1" t="n">
        <f aca="false">ROUND(100-K64,2)</f>
        <v>40</v>
      </c>
      <c r="M64" s="1" t="n">
        <v>100</v>
      </c>
    </row>
    <row r="65" customFormat="false" ht="14.25" hidden="false" customHeight="true" outlineLevel="0" collapsed="false">
      <c r="A65" s="1" t="s">
        <v>130</v>
      </c>
      <c r="B65" s="1" t="n">
        <v>4</v>
      </c>
      <c r="C65" s="3" t="s">
        <v>136</v>
      </c>
      <c r="D65" s="3" t="s">
        <v>137</v>
      </c>
      <c r="E65" s="1" t="s">
        <v>19</v>
      </c>
      <c r="F65" s="1" t="n">
        <v>38</v>
      </c>
      <c r="G65" s="1" t="n">
        <v>25</v>
      </c>
      <c r="H65" s="1" t="n">
        <v>11</v>
      </c>
      <c r="I65" s="1" t="n">
        <v>13</v>
      </c>
      <c r="J65" s="1" t="n">
        <v>0</v>
      </c>
      <c r="K65" s="1" t="n">
        <f aca="false">ROUND((H65+I65+J65)/F65*100,2)</f>
        <v>63.16</v>
      </c>
      <c r="L65" s="1" t="n">
        <f aca="false">ROUND(100-K65,2)</f>
        <v>36.84</v>
      </c>
      <c r="M65" s="1" t="n">
        <v>175</v>
      </c>
      <c r="N65" s="1" t="s">
        <v>138</v>
      </c>
    </row>
    <row r="66" customFormat="false" ht="14.25" hidden="false" customHeight="true" outlineLevel="0" collapsed="false">
      <c r="A66" s="1" t="s">
        <v>130</v>
      </c>
      <c r="B66" s="1" t="n">
        <v>5</v>
      </c>
      <c r="C66" s="3" t="s">
        <v>139</v>
      </c>
      <c r="D66" s="3" t="s">
        <v>140</v>
      </c>
      <c r="E66" s="1" t="s">
        <v>19</v>
      </c>
      <c r="F66" s="1" t="n">
        <v>32</v>
      </c>
      <c r="G66" s="1" t="n">
        <v>30</v>
      </c>
      <c r="H66" s="1" t="n">
        <v>0</v>
      </c>
      <c r="I66" s="1" t="n">
        <v>2</v>
      </c>
      <c r="J66" s="1" t="n">
        <v>0</v>
      </c>
      <c r="K66" s="1" t="n">
        <f aca="false">ROUND((H66+I66+J66)/F66*100,2)</f>
        <v>6.25</v>
      </c>
      <c r="L66" s="1" t="n">
        <f aca="false">ROUND(100-K66,2)</f>
        <v>93.75</v>
      </c>
      <c r="M66" s="1" t="n">
        <v>33.33</v>
      </c>
    </row>
    <row r="67" customFormat="false" ht="14.25" hidden="false" customHeight="true" outlineLevel="0" collapsed="false">
      <c r="A67" s="1" t="s">
        <v>130</v>
      </c>
      <c r="B67" s="1" t="n">
        <v>6</v>
      </c>
      <c r="C67" s="3" t="s">
        <v>141</v>
      </c>
      <c r="D67" s="3" t="s">
        <v>142</v>
      </c>
      <c r="E67" s="1" t="s">
        <v>19</v>
      </c>
      <c r="F67" s="1" t="n">
        <v>44</v>
      </c>
      <c r="G67" s="1" t="n">
        <v>34</v>
      </c>
      <c r="H67" s="1" t="n">
        <v>5</v>
      </c>
      <c r="I67" s="1" t="n">
        <v>11</v>
      </c>
      <c r="J67" s="1" t="n">
        <v>1</v>
      </c>
      <c r="K67" s="1" t="n">
        <f aca="false">ROUND((H67+I67+J67)/F67*100,2)</f>
        <v>38.64</v>
      </c>
      <c r="L67" s="1" t="n">
        <f aca="false">ROUND(100-K67,2)</f>
        <v>61.36</v>
      </c>
      <c r="M67" s="1" t="n">
        <v>100</v>
      </c>
    </row>
    <row r="68" customFormat="false" ht="14.25" hidden="false" customHeight="true" outlineLevel="0" collapsed="false">
      <c r="A68" s="1" t="s">
        <v>130</v>
      </c>
      <c r="B68" s="1" t="n">
        <v>7</v>
      </c>
      <c r="C68" s="3" t="s">
        <v>143</v>
      </c>
      <c r="D68" s="3" t="s">
        <v>144</v>
      </c>
      <c r="E68" s="1" t="s">
        <v>19</v>
      </c>
      <c r="F68" s="1" t="n">
        <v>43</v>
      </c>
      <c r="G68" s="1" t="n">
        <v>35</v>
      </c>
      <c r="H68" s="1" t="n">
        <v>7</v>
      </c>
      <c r="I68" s="1" t="n">
        <v>9</v>
      </c>
      <c r="J68" s="1" t="n">
        <v>1</v>
      </c>
      <c r="K68" s="1" t="n">
        <f aca="false">ROUND((H68+I68+J68)/F68*100,2)</f>
        <v>39.53</v>
      </c>
      <c r="L68" s="1" t="n">
        <f aca="false">ROUND(100-K68,2)</f>
        <v>60.47</v>
      </c>
      <c r="M68" s="1" t="n">
        <v>150</v>
      </c>
    </row>
    <row r="69" customFormat="false" ht="14.25" hidden="false" customHeight="true" outlineLevel="0" collapsed="false">
      <c r="A69" s="1" t="s">
        <v>130</v>
      </c>
      <c r="B69" s="1" t="n">
        <v>8</v>
      </c>
      <c r="C69" s="3" t="s">
        <v>145</v>
      </c>
      <c r="D69" s="3" t="s">
        <v>146</v>
      </c>
      <c r="E69" s="1" t="s">
        <v>19</v>
      </c>
      <c r="F69" s="1" t="n">
        <v>34</v>
      </c>
      <c r="G69" s="1" t="n">
        <v>24</v>
      </c>
      <c r="H69" s="1" t="n">
        <v>9</v>
      </c>
      <c r="I69" s="1" t="n">
        <v>10</v>
      </c>
      <c r="J69" s="1" t="n">
        <v>0</v>
      </c>
      <c r="K69" s="1" t="n">
        <f aca="false">ROUND((H69+I69+J69)/F69*100,2)</f>
        <v>55.88</v>
      </c>
      <c r="L69" s="1" t="n">
        <f aca="false">ROUND(100-K69,2)</f>
        <v>44.12</v>
      </c>
      <c r="M69" s="1" t="n">
        <v>100</v>
      </c>
    </row>
    <row r="70" customFormat="false" ht="14.25" hidden="false" customHeight="true" outlineLevel="0" collapsed="false">
      <c r="A70" s="1" t="s">
        <v>130</v>
      </c>
      <c r="B70" s="1" t="n">
        <v>9</v>
      </c>
      <c r="C70" s="3" t="s">
        <v>147</v>
      </c>
      <c r="D70" s="3" t="s">
        <v>148</v>
      </c>
      <c r="E70" s="1" t="s">
        <v>19</v>
      </c>
      <c r="F70" s="1" t="n">
        <v>40</v>
      </c>
      <c r="G70" s="1" t="n">
        <v>40</v>
      </c>
      <c r="H70" s="1" t="n">
        <v>4</v>
      </c>
      <c r="I70" s="1" t="n">
        <v>2</v>
      </c>
      <c r="J70" s="1" t="n">
        <v>2</v>
      </c>
      <c r="K70" s="1" t="n">
        <f aca="false">ROUND((H70+I70+J70)/F70*100,2)</f>
        <v>20</v>
      </c>
      <c r="L70" s="1" t="n">
        <f aca="false">ROUND(100-K70,2)</f>
        <v>80</v>
      </c>
      <c r="M70" s="1" t="n">
        <v>100</v>
      </c>
    </row>
    <row r="71" customFormat="false" ht="14.25" hidden="false" customHeight="true" outlineLevel="0" collapsed="false">
      <c r="A71" s="1" t="s">
        <v>130</v>
      </c>
      <c r="B71" s="1" t="n">
        <v>10</v>
      </c>
      <c r="C71" s="3" t="s">
        <v>149</v>
      </c>
      <c r="D71" s="3" t="s">
        <v>150</v>
      </c>
      <c r="E71" s="1" t="s">
        <v>19</v>
      </c>
      <c r="F71" s="1" t="n">
        <v>34</v>
      </c>
      <c r="G71" s="1" t="n">
        <v>33</v>
      </c>
      <c r="H71" s="1" t="n">
        <v>2</v>
      </c>
      <c r="I71" s="1" t="n">
        <v>1</v>
      </c>
      <c r="J71" s="1" t="n">
        <v>0</v>
      </c>
      <c r="K71" s="1" t="n">
        <f aca="false">ROUND((H71+I71+J71)/F71*100,2)</f>
        <v>8.82</v>
      </c>
      <c r="L71" s="1" t="n">
        <f aca="false">ROUND(100-K71,2)</f>
        <v>91.18</v>
      </c>
      <c r="M71" s="1" t="n">
        <v>33.33</v>
      </c>
    </row>
    <row r="72" customFormat="false" ht="14.25" hidden="false" customHeight="true" outlineLevel="0" collapsed="false">
      <c r="A72" s="1" t="s">
        <v>130</v>
      </c>
      <c r="B72" s="1" t="n">
        <v>11</v>
      </c>
      <c r="C72" s="3" t="s">
        <v>151</v>
      </c>
      <c r="D72" s="3" t="s">
        <v>152</v>
      </c>
      <c r="E72" s="1" t="s">
        <v>19</v>
      </c>
      <c r="F72" s="1" t="n">
        <v>30</v>
      </c>
      <c r="G72" s="1" t="n">
        <v>30</v>
      </c>
      <c r="H72" s="1" t="n">
        <v>3</v>
      </c>
      <c r="I72" s="1" t="n">
        <v>2</v>
      </c>
      <c r="J72" s="1" t="n">
        <v>2</v>
      </c>
      <c r="K72" s="1" t="n">
        <f aca="false">ROUND((H72+I72+J72)/F72*100,2)</f>
        <v>23.33</v>
      </c>
      <c r="L72" s="1" t="n">
        <f aca="false">ROUND(100-K72,2)</f>
        <v>76.67</v>
      </c>
      <c r="M72" s="1" t="n">
        <v>200</v>
      </c>
    </row>
    <row r="73" customFormat="false" ht="14.25" hidden="false" customHeight="true" outlineLevel="0" collapsed="false">
      <c r="A73" s="1" t="s">
        <v>130</v>
      </c>
      <c r="B73" s="1" t="n">
        <v>12</v>
      </c>
      <c r="C73" s="3" t="s">
        <v>153</v>
      </c>
      <c r="D73" s="3" t="s">
        <v>154</v>
      </c>
      <c r="E73" s="1" t="s">
        <v>19</v>
      </c>
      <c r="F73" s="1" t="n">
        <v>38</v>
      </c>
      <c r="G73" s="1" t="n">
        <v>34</v>
      </c>
      <c r="H73" s="1" t="n">
        <v>11</v>
      </c>
      <c r="I73" s="1" t="n">
        <v>4</v>
      </c>
      <c r="J73" s="1" t="n">
        <v>0</v>
      </c>
      <c r="K73" s="1" t="n">
        <f aca="false">ROUND((H73+I73+J73)/F73*100,2)</f>
        <v>39.47</v>
      </c>
      <c r="L73" s="1" t="n">
        <f aca="false">ROUND(100-K73,2)</f>
        <v>60.53</v>
      </c>
      <c r="M73" s="1" t="n">
        <v>50</v>
      </c>
    </row>
    <row r="74" customFormat="false" ht="14.25" hidden="false" customHeight="true" outlineLevel="0" collapsed="false">
      <c r="A74" s="1" t="s">
        <v>130</v>
      </c>
      <c r="B74" s="1" t="n">
        <v>13</v>
      </c>
      <c r="C74" s="3" t="s">
        <v>155</v>
      </c>
      <c r="D74" s="3" t="s">
        <v>156</v>
      </c>
      <c r="E74" s="1" t="s">
        <v>19</v>
      </c>
      <c r="F74" s="1" t="n">
        <v>7</v>
      </c>
      <c r="G74" s="1" t="n">
        <v>5</v>
      </c>
      <c r="H74" s="1" t="n">
        <v>0</v>
      </c>
      <c r="I74" s="1" t="n">
        <v>2</v>
      </c>
      <c r="J74" s="1" t="n">
        <v>0</v>
      </c>
      <c r="K74" s="1" t="n">
        <f aca="false">ROUND((H74+I74+J74)/F74*100,2)</f>
        <v>28.57</v>
      </c>
      <c r="L74" s="1" t="n">
        <f aca="false">ROUND(100-K74,2)</f>
        <v>71.43</v>
      </c>
      <c r="M74" s="1" t="n">
        <v>100</v>
      </c>
    </row>
    <row r="75" customFormat="false" ht="14.25" hidden="false" customHeight="true" outlineLevel="0" collapsed="false">
      <c r="A75" s="1" t="s">
        <v>130</v>
      </c>
      <c r="B75" s="1" t="n">
        <v>14</v>
      </c>
      <c r="C75" s="3" t="s">
        <v>157</v>
      </c>
      <c r="D75" s="3" t="s">
        <v>158</v>
      </c>
      <c r="E75" s="1" t="s">
        <v>19</v>
      </c>
      <c r="F75" s="1" t="n">
        <v>36</v>
      </c>
      <c r="G75" s="1" t="n">
        <v>34</v>
      </c>
      <c r="H75" s="1" t="n">
        <v>2</v>
      </c>
      <c r="I75" s="1" t="n">
        <v>2</v>
      </c>
      <c r="J75" s="1" t="n">
        <v>0</v>
      </c>
      <c r="K75" s="1" t="n">
        <f aca="false">ROUND((H75+I75+J75)/F75*100,2)</f>
        <v>11.11</v>
      </c>
      <c r="L75" s="1" t="n">
        <f aca="false">ROUND(100-K75,2)</f>
        <v>88.89</v>
      </c>
      <c r="M75" s="1" t="n">
        <v>33.33</v>
      </c>
    </row>
    <row r="76" customFormat="false" ht="14.25" hidden="false" customHeight="true" outlineLevel="0" collapsed="false">
      <c r="A76" s="1" t="s">
        <v>130</v>
      </c>
      <c r="B76" s="1" t="n">
        <v>15</v>
      </c>
      <c r="C76" s="3" t="s">
        <v>159</v>
      </c>
      <c r="D76" s="3" t="s">
        <v>160</v>
      </c>
      <c r="E76" s="1" t="s">
        <v>19</v>
      </c>
      <c r="F76" s="1" t="n">
        <v>36</v>
      </c>
      <c r="G76" s="1" t="n">
        <v>30</v>
      </c>
      <c r="H76" s="1" t="n">
        <v>1</v>
      </c>
      <c r="I76" s="1" t="n">
        <v>6</v>
      </c>
      <c r="J76" s="1" t="n">
        <v>0</v>
      </c>
      <c r="K76" s="1" t="n">
        <f aca="false">ROUND((H76+I76+J76)/F76*100,2)</f>
        <v>19.44</v>
      </c>
      <c r="L76" s="1" t="n">
        <f aca="false">ROUND(100-K76,2)</f>
        <v>80.56</v>
      </c>
      <c r="M76" s="1" t="n">
        <v>100</v>
      </c>
    </row>
    <row r="77" customFormat="false" ht="14.25" hidden="false" customHeight="true" outlineLevel="0" collapsed="false">
      <c r="A77" s="1" t="s">
        <v>130</v>
      </c>
      <c r="B77" s="1" t="n">
        <v>16</v>
      </c>
      <c r="C77" s="3" t="s">
        <v>161</v>
      </c>
      <c r="D77" s="3" t="s">
        <v>162</v>
      </c>
      <c r="E77" s="1" t="s">
        <v>19</v>
      </c>
      <c r="F77" s="1" t="n">
        <v>40</v>
      </c>
      <c r="G77" s="1" t="n">
        <v>34</v>
      </c>
      <c r="H77" s="1" t="n">
        <v>4</v>
      </c>
      <c r="I77" s="1" t="n">
        <v>6</v>
      </c>
      <c r="J77" s="1" t="n">
        <v>0</v>
      </c>
      <c r="K77" s="1" t="n">
        <f aca="false">ROUND((H77+I77+J77)/F77*100,2)</f>
        <v>25</v>
      </c>
      <c r="L77" s="1" t="n">
        <f aca="false">ROUND(100-K77,2)</f>
        <v>75</v>
      </c>
      <c r="M77" s="1" t="n">
        <v>100</v>
      </c>
    </row>
    <row r="78" customFormat="false" ht="14.25" hidden="false" customHeight="true" outlineLevel="0" collapsed="false">
      <c r="A78" s="1" t="s">
        <v>130</v>
      </c>
      <c r="B78" s="1" t="n">
        <v>17</v>
      </c>
      <c r="C78" s="3" t="s">
        <v>163</v>
      </c>
      <c r="D78" s="3" t="s">
        <v>164</v>
      </c>
      <c r="E78" s="1" t="s">
        <v>19</v>
      </c>
      <c r="F78" s="1" t="n">
        <v>39</v>
      </c>
      <c r="G78" s="1" t="n">
        <v>38</v>
      </c>
      <c r="H78" s="1" t="n">
        <v>3</v>
      </c>
      <c r="I78" s="1" t="n">
        <v>1</v>
      </c>
      <c r="J78" s="1" t="n">
        <v>0</v>
      </c>
      <c r="K78" s="1" t="n">
        <f aca="false">ROUND((H78+I78+J78)/F78*100,2)</f>
        <v>10.26</v>
      </c>
      <c r="L78" s="1" t="n">
        <f aca="false">ROUND(100-K78,2)</f>
        <v>89.74</v>
      </c>
      <c r="M78" s="1" t="n">
        <v>50</v>
      </c>
    </row>
    <row r="79" customFormat="false" ht="14.25" hidden="false" customHeight="true" outlineLevel="0" collapsed="false">
      <c r="A79" s="1" t="s">
        <v>130</v>
      </c>
      <c r="B79" s="1" t="n">
        <v>18</v>
      </c>
      <c r="C79" s="3" t="s">
        <v>165</v>
      </c>
      <c r="D79" s="3" t="s">
        <v>165</v>
      </c>
      <c r="E79" s="1" t="s">
        <v>19</v>
      </c>
      <c r="F79" s="1" t="n">
        <v>6</v>
      </c>
      <c r="G79" s="1" t="n">
        <v>6</v>
      </c>
      <c r="H79" s="1" t="n">
        <v>0</v>
      </c>
      <c r="I79" s="1" t="n">
        <v>0</v>
      </c>
      <c r="J79" s="1" t="n">
        <v>0</v>
      </c>
      <c r="K79" s="1" t="n">
        <f aca="false">ROUND((H79+I79+J79)/F79*100,2)</f>
        <v>0</v>
      </c>
      <c r="L79" s="1" t="n">
        <f aca="false">ROUND(100-K79,2)</f>
        <v>100</v>
      </c>
      <c r="M79" s="1" t="n">
        <v>0</v>
      </c>
    </row>
    <row r="80" customFormat="false" ht="14.25" hidden="false" customHeight="true" outlineLevel="0" collapsed="false">
      <c r="A80" s="1" t="s">
        <v>130</v>
      </c>
      <c r="B80" s="1" t="n">
        <v>19</v>
      </c>
      <c r="C80" s="3" t="s">
        <v>166</v>
      </c>
      <c r="E80" s="1" t="s">
        <v>16</v>
      </c>
      <c r="F80" s="1" t="n">
        <f aca="false">IF(C80="","",LEN(C80))</f>
        <v>6</v>
      </c>
      <c r="G80" s="1" t="str">
        <f aca="false">IF(D80="","",LEN(D80))</f>
        <v/>
      </c>
    </row>
    <row r="81" customFormat="false" ht="14.25" hidden="false" customHeight="true" outlineLevel="0" collapsed="false">
      <c r="A81" s="1" t="s">
        <v>130</v>
      </c>
      <c r="B81" s="1" t="n">
        <v>20</v>
      </c>
      <c r="C81" s="3" t="s">
        <v>167</v>
      </c>
      <c r="D81" s="3" t="s">
        <v>168</v>
      </c>
      <c r="E81" s="1" t="s">
        <v>19</v>
      </c>
      <c r="F81" s="1" t="n">
        <v>41</v>
      </c>
      <c r="G81" s="1" t="n">
        <v>35</v>
      </c>
      <c r="H81" s="1" t="n">
        <v>6</v>
      </c>
      <c r="I81" s="1" t="n">
        <v>6</v>
      </c>
      <c r="J81" s="1" t="n">
        <v>0</v>
      </c>
      <c r="K81" s="1" t="n">
        <f aca="false">ROUND((H81+I81+J81)/F81*100,2)</f>
        <v>29.27</v>
      </c>
      <c r="L81" s="1" t="n">
        <f aca="false">ROUND(100-K81,2)</f>
        <v>70.73</v>
      </c>
      <c r="M81" s="1" t="n">
        <v>60</v>
      </c>
    </row>
    <row r="82" customFormat="false" ht="14.25" hidden="false" customHeight="true" outlineLevel="0" collapsed="false">
      <c r="A82" s="1" t="s">
        <v>130</v>
      </c>
      <c r="B82" s="1" t="n">
        <v>21</v>
      </c>
      <c r="C82" s="3" t="s">
        <v>169</v>
      </c>
      <c r="D82" s="3" t="s">
        <v>170</v>
      </c>
      <c r="E82" s="1" t="s">
        <v>19</v>
      </c>
      <c r="F82" s="1" t="n">
        <v>37</v>
      </c>
      <c r="G82" s="1" t="n">
        <v>36</v>
      </c>
      <c r="H82" s="1" t="n">
        <v>7</v>
      </c>
      <c r="I82" s="1" t="n">
        <v>2</v>
      </c>
      <c r="J82" s="1" t="n">
        <v>1</v>
      </c>
      <c r="K82" s="1" t="n">
        <f aca="false">ROUND((H82+I82+J82)/F82*100,2)</f>
        <v>27.03</v>
      </c>
      <c r="L82" s="1" t="n">
        <f aca="false">ROUND(100-K82,2)</f>
        <v>72.97</v>
      </c>
      <c r="M82" s="1" t="n">
        <v>200</v>
      </c>
    </row>
    <row r="83" customFormat="false" ht="14.25" hidden="false" customHeight="true" outlineLevel="0" collapsed="false">
      <c r="A83" s="1" t="s">
        <v>130</v>
      </c>
      <c r="B83" s="1" t="n">
        <v>22</v>
      </c>
      <c r="C83" s="3" t="s">
        <v>171</v>
      </c>
      <c r="D83" s="3" t="s">
        <v>172</v>
      </c>
      <c r="E83" s="1" t="s">
        <v>19</v>
      </c>
      <c r="F83" s="1" t="n">
        <v>32</v>
      </c>
      <c r="G83" s="1" t="n">
        <v>31</v>
      </c>
      <c r="H83" s="1" t="n">
        <v>4</v>
      </c>
      <c r="I83" s="1" t="n">
        <v>1</v>
      </c>
      <c r="J83" s="1" t="n">
        <v>0</v>
      </c>
      <c r="K83" s="1" t="n">
        <f aca="false">ROUND((H83+I83+J83)/F83*100,2)</f>
        <v>15.63</v>
      </c>
      <c r="L83" s="1" t="n">
        <f aca="false">ROUND(100-K83,2)</f>
        <v>84.37</v>
      </c>
      <c r="M83" s="1" t="n">
        <v>100</v>
      </c>
    </row>
    <row r="84" customFormat="false" ht="14.25" hidden="false" customHeight="true" outlineLevel="0" collapsed="false">
      <c r="A84" s="1" t="s">
        <v>130</v>
      </c>
      <c r="B84" s="1" t="n">
        <v>23</v>
      </c>
      <c r="C84" s="3" t="s">
        <v>173</v>
      </c>
      <c r="D84" s="3" t="s">
        <v>174</v>
      </c>
      <c r="E84" s="1" t="s">
        <v>19</v>
      </c>
      <c r="F84" s="1" t="n">
        <v>34</v>
      </c>
      <c r="G84" s="1" t="n">
        <v>31</v>
      </c>
      <c r="H84" s="1" t="n">
        <v>6</v>
      </c>
      <c r="I84" s="1" t="n">
        <v>4</v>
      </c>
      <c r="J84" s="1" t="n">
        <v>1</v>
      </c>
      <c r="K84" s="1" t="n">
        <f aca="false">ROUND((H84+I84+J84)/F84*100,2)</f>
        <v>32.35</v>
      </c>
      <c r="L84" s="1" t="n">
        <f aca="false">ROUND(100-K84,2)</f>
        <v>67.65</v>
      </c>
      <c r="M84" s="1" t="n">
        <v>100</v>
      </c>
    </row>
    <row r="85" customFormat="false" ht="14.25" hidden="false" customHeight="true" outlineLevel="0" collapsed="false">
      <c r="A85" s="1" t="s">
        <v>130</v>
      </c>
      <c r="B85" s="1" t="n">
        <v>24</v>
      </c>
      <c r="C85" s="3" t="s">
        <v>175</v>
      </c>
      <c r="D85" s="3" t="s">
        <v>176</v>
      </c>
      <c r="E85" s="1" t="s">
        <v>19</v>
      </c>
      <c r="F85" s="1" t="n">
        <v>34</v>
      </c>
      <c r="G85" s="1" t="n">
        <v>35</v>
      </c>
      <c r="H85" s="1" t="n">
        <v>8</v>
      </c>
      <c r="I85" s="1" t="n">
        <v>0</v>
      </c>
      <c r="J85" s="1" t="n">
        <v>1</v>
      </c>
      <c r="K85" s="1" t="n">
        <f aca="false">ROUND((H85+I85+J85)/F85*100,2)</f>
        <v>26.47</v>
      </c>
      <c r="L85" s="1" t="n">
        <f aca="false">ROUND(100-K85,2)</f>
        <v>73.53</v>
      </c>
      <c r="M85" s="1" t="n">
        <v>125</v>
      </c>
    </row>
    <row r="86" customFormat="false" ht="14.25" hidden="false" customHeight="true" outlineLevel="0" collapsed="false">
      <c r="A86" s="1" t="s">
        <v>130</v>
      </c>
      <c r="B86" s="1" t="n">
        <v>25</v>
      </c>
      <c r="C86" s="3" t="s">
        <v>177</v>
      </c>
      <c r="D86" s="3" t="s">
        <v>178</v>
      </c>
      <c r="E86" s="1" t="s">
        <v>19</v>
      </c>
      <c r="F86" s="1" t="n">
        <v>40</v>
      </c>
      <c r="G86" s="1" t="n">
        <v>39</v>
      </c>
      <c r="H86" s="1" t="n">
        <v>6</v>
      </c>
      <c r="I86" s="1" t="n">
        <v>1</v>
      </c>
      <c r="J86" s="1" t="n">
        <v>0</v>
      </c>
      <c r="K86" s="1" t="n">
        <f aca="false">ROUND((H86+I86+J86)/F86*100,2)</f>
        <v>17.5</v>
      </c>
      <c r="L86" s="1" t="n">
        <f aca="false">ROUND(100-K86,2)</f>
        <v>82.5</v>
      </c>
      <c r="M86" s="1" t="n">
        <v>100</v>
      </c>
    </row>
    <row r="87" customFormat="false" ht="14.25" hidden="false" customHeight="true" outlineLevel="0" collapsed="false">
      <c r="A87" s="1" t="s">
        <v>130</v>
      </c>
      <c r="B87" s="1" t="n">
        <v>26</v>
      </c>
      <c r="C87" s="3" t="s">
        <v>179</v>
      </c>
      <c r="D87" s="3" t="s">
        <v>180</v>
      </c>
      <c r="E87" s="1" t="s">
        <v>19</v>
      </c>
      <c r="F87" s="1" t="n">
        <v>37</v>
      </c>
      <c r="G87" s="1" t="n">
        <v>37</v>
      </c>
      <c r="H87" s="1" t="n">
        <v>2</v>
      </c>
      <c r="I87" s="1" t="n">
        <v>2</v>
      </c>
      <c r="J87" s="1" t="n">
        <v>2</v>
      </c>
      <c r="K87" s="1" t="n">
        <f aca="false">ROUND((H87+I87+J87)/F87*100,2)</f>
        <v>16.22</v>
      </c>
      <c r="L87" s="1" t="n">
        <f aca="false">ROUND(100-K87,2)</f>
        <v>83.78</v>
      </c>
      <c r="M87" s="1" t="n">
        <v>60</v>
      </c>
    </row>
    <row r="88" customFormat="false" ht="14.25" hidden="false" customHeight="true" outlineLevel="0" collapsed="false">
      <c r="A88" s="1" t="s">
        <v>130</v>
      </c>
      <c r="B88" s="1" t="n">
        <v>27</v>
      </c>
      <c r="C88" s="3" t="s">
        <v>181</v>
      </c>
      <c r="E88" s="1" t="s">
        <v>16</v>
      </c>
      <c r="F88" s="1" t="n">
        <f aca="false">IF(C88="","",LEN(C88))</f>
        <v>5</v>
      </c>
      <c r="G88" s="1" t="str">
        <f aca="false">IF(D88="","",LEN(D88))</f>
        <v/>
      </c>
    </row>
    <row r="89" customFormat="false" ht="14.25" hidden="false" customHeight="true" outlineLevel="0" collapsed="false">
      <c r="A89" s="1" t="s">
        <v>130</v>
      </c>
      <c r="B89" s="1" t="n">
        <v>28</v>
      </c>
      <c r="C89" s="3" t="s">
        <v>182</v>
      </c>
      <c r="D89" s="3" t="s">
        <v>183</v>
      </c>
      <c r="E89" s="1" t="s">
        <v>19</v>
      </c>
      <c r="F89" s="1" t="n">
        <v>40</v>
      </c>
      <c r="G89" s="1" t="n">
        <v>35</v>
      </c>
      <c r="H89" s="1" t="n">
        <v>4</v>
      </c>
      <c r="I89" s="1" t="n">
        <v>5</v>
      </c>
      <c r="J89" s="1" t="n">
        <v>0</v>
      </c>
      <c r="K89" s="1" t="n">
        <f aca="false">ROUND((H89+I89+J89)/F89*100,2)</f>
        <v>22.5</v>
      </c>
      <c r="L89" s="1" t="n">
        <f aca="false">ROUND(100-K89,2)</f>
        <v>77.5</v>
      </c>
      <c r="M89" s="1" t="n">
        <v>75</v>
      </c>
    </row>
    <row r="90" customFormat="false" ht="14.25" hidden="false" customHeight="true" outlineLevel="0" collapsed="false">
      <c r="A90" s="1" t="s">
        <v>130</v>
      </c>
      <c r="B90" s="1" t="n">
        <v>29</v>
      </c>
      <c r="C90" s="3" t="s">
        <v>184</v>
      </c>
      <c r="D90" s="3" t="s">
        <v>185</v>
      </c>
      <c r="E90" s="1" t="s">
        <v>19</v>
      </c>
      <c r="F90" s="1" t="n">
        <v>21</v>
      </c>
      <c r="G90" s="1" t="n">
        <v>18</v>
      </c>
      <c r="H90" s="1" t="n">
        <v>3</v>
      </c>
      <c r="I90" s="1" t="n">
        <v>3</v>
      </c>
      <c r="J90" s="1" t="n">
        <v>0</v>
      </c>
      <c r="K90" s="1" t="n">
        <f aca="false">ROUND((H90+I90+J90)/F90*100,2)</f>
        <v>28.57</v>
      </c>
      <c r="L90" s="1" t="n">
        <f aca="false">ROUND(100-K90,2)</f>
        <v>71.43</v>
      </c>
      <c r="M90" s="1" t="n">
        <v>75</v>
      </c>
    </row>
    <row r="91" customFormat="false" ht="14.25" hidden="false" customHeight="true" outlineLevel="0" collapsed="false">
      <c r="A91" s="1" t="s">
        <v>130</v>
      </c>
      <c r="B91" s="1" t="n">
        <v>30</v>
      </c>
      <c r="C91" s="3" t="s">
        <v>186</v>
      </c>
      <c r="D91" s="3" t="s">
        <v>187</v>
      </c>
      <c r="E91" s="1" t="s">
        <v>19</v>
      </c>
      <c r="F91" s="1" t="n">
        <v>115</v>
      </c>
      <c r="G91" s="1" t="n">
        <v>104</v>
      </c>
      <c r="H91" s="1" t="n">
        <v>32</v>
      </c>
      <c r="I91" s="1" t="n">
        <v>13</v>
      </c>
      <c r="J91" s="1" t="n">
        <v>2</v>
      </c>
      <c r="K91" s="1" t="n">
        <f aca="false">ROUND((H91+I91+J91)/F91*100,2)</f>
        <v>40.87</v>
      </c>
      <c r="L91" s="1" t="n">
        <f aca="false">ROUND(100-K91,2)</f>
        <v>59.13</v>
      </c>
      <c r="M91" s="1" t="n">
        <v>111.11</v>
      </c>
      <c r="N91" s="1" t="s">
        <v>104</v>
      </c>
    </row>
  </sheetData>
  <autoFilter ref="A1:N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10"/>
  </cols>
  <sheetData>
    <row r="1" customFormat="false" ht="14.25" hidden="false" customHeight="true" outlineLevel="0" collapsed="false">
      <c r="A1" s="4" t="s">
        <v>188</v>
      </c>
    </row>
    <row r="2" customFormat="false" ht="14.25" hidden="false" customHeight="true" outlineLevel="0" collapsed="false">
      <c r="A2" s="5"/>
    </row>
    <row r="3" customFormat="false" ht="14.25" hidden="false" customHeight="true" outlineLevel="0" collapsed="false">
      <c r="A3" s="4" t="s">
        <v>189</v>
      </c>
    </row>
    <row r="4" customFormat="false" ht="14.25" hidden="false" customHeight="true" outlineLevel="0" collapsed="false">
      <c r="A4" s="5" t="s">
        <v>190</v>
      </c>
    </row>
    <row r="5" customFormat="false" ht="14.25" hidden="false" customHeight="true" outlineLevel="0" collapsed="false">
      <c r="A5" s="5"/>
    </row>
    <row r="6" customFormat="false" ht="14.25" hidden="false" customHeight="true" outlineLevel="0" collapsed="false">
      <c r="A6" s="4" t="s">
        <v>191</v>
      </c>
    </row>
    <row r="7" customFormat="false" ht="14.25" hidden="false" customHeight="true" outlineLevel="0" collapsed="false">
      <c r="A7" s="5" t="s">
        <v>192</v>
      </c>
    </row>
    <row r="8" customFormat="false" ht="14.25" hidden="false" customHeight="true" outlineLevel="0" collapsed="false">
      <c r="A8" s="5" t="s">
        <v>193</v>
      </c>
    </row>
    <row r="9" customFormat="false" ht="14.25" hidden="false" customHeight="true" outlineLevel="0" collapsed="false">
      <c r="A9" s="5" t="s">
        <v>194</v>
      </c>
    </row>
    <row r="10" customFormat="false" ht="14.25" hidden="false" customHeight="true" outlineLevel="0" collapsed="false">
      <c r="A10" s="5" t="s">
        <v>195</v>
      </c>
    </row>
    <row r="11" customFormat="false" ht="14.25" hidden="false" customHeight="true" outlineLevel="0" collapsed="false">
      <c r="A11" s="5" t="s">
        <v>196</v>
      </c>
    </row>
    <row r="12" customFormat="false" ht="14.25" hidden="false" customHeight="true" outlineLevel="0" collapsed="false">
      <c r="A12" s="5"/>
    </row>
    <row r="13" customFormat="false" ht="14.25" hidden="false" customHeight="true" outlineLevel="0" collapsed="false">
      <c r="A13" s="5" t="s">
        <v>197</v>
      </c>
    </row>
    <row r="14" customFormat="false" ht="28.5" hidden="false" customHeight="true" outlineLevel="0" collapsed="false">
      <c r="A14" s="5" t="s">
        <v>198</v>
      </c>
    </row>
    <row r="15" customFormat="false" ht="14.25" hidden="false" customHeight="true" outlineLevel="0" collapsed="false">
      <c r="A15" s="5"/>
    </row>
    <row r="16" customFormat="false" ht="14.25" hidden="false" customHeight="true" outlineLevel="0" collapsed="false">
      <c r="A16" s="4" t="s">
        <v>199</v>
      </c>
    </row>
    <row r="17" customFormat="false" ht="14.25" hidden="false" customHeight="true" outlineLevel="0" collapsed="false">
      <c r="A17" s="5" t="s">
        <v>200</v>
      </c>
    </row>
    <row r="18" customFormat="false" ht="14.25" hidden="false" customHeight="true" outlineLevel="0" collapsed="false">
      <c r="A18" s="5" t="s">
        <v>201</v>
      </c>
    </row>
    <row r="19" customFormat="false" ht="14.25" hidden="false" customHeight="true" outlineLevel="0" collapsed="false">
      <c r="A19" s="5" t="s">
        <v>202</v>
      </c>
    </row>
    <row r="20" customFormat="false" ht="14.25" hidden="false" customHeight="true" outlineLevel="0" collapsed="false">
      <c r="A20" s="5"/>
    </row>
    <row r="21" customFormat="false" ht="14.25" hidden="false" customHeight="true" outlineLevel="0" collapsed="false">
      <c r="A21" s="5" t="s">
        <v>203</v>
      </c>
    </row>
    <row r="22" customFormat="false" ht="14.25" hidden="false" customHeight="true" outlineLevel="0" collapsed="false">
      <c r="A22" s="4" t="s">
        <v>204</v>
      </c>
    </row>
    <row r="23" customFormat="false" ht="14.25" hidden="false" customHeight="true" outlineLevel="0" collapsed="false">
      <c r="A23" s="5" t="s">
        <v>205</v>
      </c>
    </row>
    <row r="24" customFormat="false" ht="14.25" hidden="false" customHeight="true" outlineLevel="0" collapsed="false">
      <c r="A24" s="5" t="s">
        <v>206</v>
      </c>
    </row>
    <row r="25" customFormat="false" ht="14.25" hidden="false" customHeight="true" outlineLevel="0" collapsed="false">
      <c r="A25" s="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J4" activeCellId="0" sqref="J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8" min="7" style="1" width="10"/>
    <col collapsed="false" customWidth="true" hidden="false" outlineLevel="0" max="9" min="9" style="1" width="60"/>
  </cols>
  <sheetData>
    <row r="1" customFormat="false" ht="26.2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19</v>
      </c>
    </row>
    <row r="2" customFormat="false" ht="26.25" hidden="false" customHeight="true" outlineLevel="0" collapsed="false">
      <c r="A2" s="7" t="s">
        <v>14</v>
      </c>
      <c r="B2" s="7" t="n">
        <v>1</v>
      </c>
      <c r="C2" s="7" t="s">
        <v>15</v>
      </c>
      <c r="D2" s="7" t="n">
        <v>0.811</v>
      </c>
      <c r="E2" s="8" t="s">
        <v>214</v>
      </c>
      <c r="F2" s="7" t="s">
        <v>215</v>
      </c>
      <c r="G2" s="7" t="n">
        <v>440</v>
      </c>
      <c r="H2" s="7" t="n">
        <v>441</v>
      </c>
      <c r="I2" s="7" t="s">
        <v>216</v>
      </c>
      <c r="J2" s="7" t="s">
        <v>217</v>
      </c>
    </row>
    <row r="3" customFormat="false" ht="14.25" hidden="false" customHeight="true" outlineLevel="0" collapsed="false">
      <c r="A3" s="7" t="s">
        <v>14</v>
      </c>
      <c r="B3" s="7" t="n">
        <v>2</v>
      </c>
      <c r="C3" s="7" t="s">
        <v>17</v>
      </c>
      <c r="D3" s="7" t="n">
        <v>0.784</v>
      </c>
      <c r="E3" s="8" t="s">
        <v>214</v>
      </c>
      <c r="F3" s="7" t="s">
        <v>215</v>
      </c>
      <c r="G3" s="7" t="n">
        <v>57168</v>
      </c>
      <c r="H3" s="7" t="n">
        <v>57169</v>
      </c>
      <c r="I3" s="7" t="s">
        <v>218</v>
      </c>
      <c r="J3" s="7" t="s">
        <v>219</v>
      </c>
    </row>
    <row r="4" customFormat="false" ht="14.25" hidden="false" customHeight="true" outlineLevel="0" collapsed="false">
      <c r="A4" s="7" t="s">
        <v>14</v>
      </c>
      <c r="B4" s="7" t="n">
        <v>3</v>
      </c>
      <c r="C4" s="7" t="s">
        <v>20</v>
      </c>
      <c r="D4" s="7" t="n">
        <v>0.81</v>
      </c>
      <c r="E4" s="8" t="s">
        <v>214</v>
      </c>
      <c r="F4" s="7" t="s">
        <v>215</v>
      </c>
      <c r="G4" s="7" t="n">
        <v>57240</v>
      </c>
      <c r="H4" s="7" t="n">
        <v>57241</v>
      </c>
      <c r="I4" s="7" t="s">
        <v>220</v>
      </c>
      <c r="J4" s="7" t="s">
        <v>219</v>
      </c>
    </row>
    <row r="5" customFormat="false" ht="14.25" hidden="false" customHeight="true" outlineLevel="0" collapsed="false">
      <c r="A5" s="7" t="s">
        <v>14</v>
      </c>
      <c r="B5" s="7" t="n">
        <v>4</v>
      </c>
      <c r="C5" s="7" t="s">
        <v>22</v>
      </c>
      <c r="D5" s="7" t="n">
        <v>0.941</v>
      </c>
      <c r="E5" s="9" t="s">
        <v>221</v>
      </c>
      <c r="F5" s="7" t="s">
        <v>215</v>
      </c>
      <c r="G5" s="7" t="n">
        <v>57292</v>
      </c>
      <c r="H5" s="7" t="n">
        <v>57293</v>
      </c>
      <c r="I5" s="7" t="s">
        <v>222</v>
      </c>
      <c r="J5" s="7" t="s">
        <v>219</v>
      </c>
    </row>
    <row r="6" customFormat="false" ht="14.25" hidden="false" customHeight="true" outlineLevel="0" collapsed="false">
      <c r="A6" s="7" t="s">
        <v>14</v>
      </c>
      <c r="B6" s="7" t="n">
        <v>5</v>
      </c>
      <c r="C6" s="7" t="s">
        <v>24</v>
      </c>
      <c r="D6" s="7" t="n">
        <v>0.737</v>
      </c>
      <c r="E6" s="8" t="s">
        <v>214</v>
      </c>
      <c r="F6" s="7" t="s">
        <v>215</v>
      </c>
      <c r="G6" s="7" t="n">
        <v>57450</v>
      </c>
      <c r="H6" s="7" t="n">
        <v>57451</v>
      </c>
      <c r="I6" s="7" t="s">
        <v>223</v>
      </c>
      <c r="J6" s="7" t="s">
        <v>219</v>
      </c>
    </row>
    <row r="7" customFormat="false" ht="14.25" hidden="false" customHeight="true" outlineLevel="0" collapsed="false">
      <c r="A7" s="7" t="s">
        <v>14</v>
      </c>
      <c r="B7" s="7" t="n">
        <v>6</v>
      </c>
      <c r="C7" s="7" t="s">
        <v>26</v>
      </c>
      <c r="D7" s="7" t="n">
        <v>0.595</v>
      </c>
      <c r="E7" s="10" t="s">
        <v>224</v>
      </c>
      <c r="F7" s="7" t="s">
        <v>215</v>
      </c>
      <c r="G7" s="7" t="n">
        <v>8360</v>
      </c>
      <c r="H7" s="7" t="n">
        <v>8361</v>
      </c>
      <c r="I7" s="7" t="s">
        <v>225</v>
      </c>
      <c r="J7" s="7" t="s">
        <v>219</v>
      </c>
    </row>
    <row r="8" customFormat="false" ht="14.25" hidden="false" customHeight="true" outlineLevel="0" collapsed="false">
      <c r="A8" s="7" t="s">
        <v>14</v>
      </c>
      <c r="B8" s="7" t="n">
        <v>7</v>
      </c>
      <c r="C8" s="7" t="s">
        <v>28</v>
      </c>
      <c r="D8" s="7" t="n">
        <v>0.545</v>
      </c>
      <c r="E8" s="10" t="s">
        <v>224</v>
      </c>
      <c r="F8" s="7" t="s">
        <v>215</v>
      </c>
      <c r="G8" s="7" t="n">
        <v>8402</v>
      </c>
      <c r="H8" s="7" t="n">
        <v>8403</v>
      </c>
      <c r="I8" s="7" t="s">
        <v>226</v>
      </c>
      <c r="J8" s="7" t="s">
        <v>219</v>
      </c>
    </row>
    <row r="9" customFormat="false" ht="14.25" hidden="false" customHeight="true" outlineLevel="0" collapsed="false">
      <c r="A9" s="7" t="s">
        <v>14</v>
      </c>
      <c r="B9" s="7" t="n">
        <v>8</v>
      </c>
      <c r="C9" s="7" t="s">
        <v>30</v>
      </c>
      <c r="D9" s="7" t="n">
        <v>0.533</v>
      </c>
      <c r="E9" s="10" t="s">
        <v>224</v>
      </c>
      <c r="F9" s="7" t="s">
        <v>215</v>
      </c>
      <c r="G9" s="7" t="n">
        <v>44</v>
      </c>
      <c r="H9" s="7" t="n">
        <v>45</v>
      </c>
      <c r="I9" s="7" t="s">
        <v>227</v>
      </c>
      <c r="J9" s="7" t="s">
        <v>217</v>
      </c>
    </row>
    <row r="10" customFormat="false" ht="14.25" hidden="false" customHeight="true" outlineLevel="0" collapsed="false">
      <c r="A10" s="7" t="s">
        <v>14</v>
      </c>
      <c r="B10" s="7" t="n">
        <v>9</v>
      </c>
      <c r="C10" s="7" t="s">
        <v>31</v>
      </c>
      <c r="D10" s="7" t="n">
        <v>0.825</v>
      </c>
      <c r="E10" s="8" t="s">
        <v>214</v>
      </c>
      <c r="F10" s="7" t="s">
        <v>215</v>
      </c>
      <c r="G10" s="7" t="n">
        <v>57560</v>
      </c>
      <c r="H10" s="7" t="n">
        <v>57561</v>
      </c>
      <c r="I10" s="7" t="s">
        <v>228</v>
      </c>
      <c r="J10" s="7" t="s">
        <v>219</v>
      </c>
    </row>
    <row r="11" customFormat="false" ht="14.25" hidden="false" customHeight="true" outlineLevel="0" collapsed="false">
      <c r="A11" s="7" t="s">
        <v>14</v>
      </c>
      <c r="B11" s="7" t="n">
        <v>10</v>
      </c>
      <c r="C11" s="7" t="s">
        <v>33</v>
      </c>
      <c r="D11" s="7" t="n">
        <v>0.769</v>
      </c>
      <c r="E11" s="8" t="s">
        <v>214</v>
      </c>
      <c r="F11" s="7" t="s">
        <v>215</v>
      </c>
      <c r="G11" s="7" t="n">
        <v>85606</v>
      </c>
      <c r="H11" s="7" t="n">
        <v>85607</v>
      </c>
      <c r="I11" s="7" t="s">
        <v>229</v>
      </c>
      <c r="J11" s="7" t="s">
        <v>219</v>
      </c>
    </row>
    <row r="12" customFormat="false" ht="14.25" hidden="false" customHeight="true" outlineLevel="0" collapsed="false">
      <c r="A12" s="7" t="s">
        <v>14</v>
      </c>
      <c r="B12" s="7" t="n">
        <v>11</v>
      </c>
      <c r="C12" s="7" t="s">
        <v>34</v>
      </c>
      <c r="D12" s="7" t="n">
        <v>0.947</v>
      </c>
      <c r="E12" s="9" t="s">
        <v>221</v>
      </c>
      <c r="F12" s="7" t="s">
        <v>215</v>
      </c>
      <c r="G12" s="7" t="n">
        <v>57674</v>
      </c>
      <c r="H12" s="7" t="n">
        <v>57675</v>
      </c>
      <c r="I12" s="7" t="s">
        <v>230</v>
      </c>
      <c r="J12" s="7" t="s">
        <v>219</v>
      </c>
    </row>
    <row r="13" customFormat="false" ht="14.25" hidden="false" customHeight="true" outlineLevel="0" collapsed="false">
      <c r="A13" s="7" t="s">
        <v>14</v>
      </c>
      <c r="B13" s="7" t="n">
        <v>12</v>
      </c>
      <c r="C13" s="7" t="s">
        <v>36</v>
      </c>
      <c r="D13" s="7" t="n">
        <v>0.917</v>
      </c>
      <c r="E13" s="9" t="s">
        <v>221</v>
      </c>
      <c r="F13" s="7" t="s">
        <v>215</v>
      </c>
      <c r="G13" s="7" t="n">
        <v>57726</v>
      </c>
      <c r="H13" s="7" t="n">
        <v>57727</v>
      </c>
      <c r="I13" s="7" t="s">
        <v>231</v>
      </c>
      <c r="J13" s="7" t="s">
        <v>219</v>
      </c>
    </row>
    <row r="14" customFormat="false" ht="14.25" hidden="false" customHeight="true" outlineLevel="0" collapsed="false">
      <c r="A14" s="7" t="s">
        <v>14</v>
      </c>
      <c r="B14" s="7" t="n">
        <v>13</v>
      </c>
      <c r="C14" s="7" t="s">
        <v>38</v>
      </c>
      <c r="D14" s="7" t="n">
        <v>0.886</v>
      </c>
      <c r="E14" s="9" t="s">
        <v>221</v>
      </c>
      <c r="F14" s="7" t="s">
        <v>215</v>
      </c>
      <c r="G14" s="7" t="n">
        <v>57778</v>
      </c>
      <c r="H14" s="7" t="n">
        <v>57779</v>
      </c>
      <c r="I14" s="7" t="s">
        <v>232</v>
      </c>
      <c r="J14" s="7" t="s">
        <v>219</v>
      </c>
    </row>
    <row r="15" customFormat="false" ht="14.25" hidden="false" customHeight="true" outlineLevel="0" collapsed="false">
      <c r="A15" s="7" t="s">
        <v>14</v>
      </c>
      <c r="B15" s="7" t="n">
        <v>14</v>
      </c>
      <c r="C15" s="7" t="s">
        <v>40</v>
      </c>
      <c r="D15" s="7" t="n">
        <v>0.925</v>
      </c>
      <c r="E15" s="9" t="s">
        <v>221</v>
      </c>
      <c r="F15" s="7" t="s">
        <v>215</v>
      </c>
      <c r="G15" s="7" t="n">
        <v>57826</v>
      </c>
      <c r="H15" s="7" t="n">
        <v>57827</v>
      </c>
      <c r="I15" s="7" t="s">
        <v>233</v>
      </c>
      <c r="J15" s="7" t="s">
        <v>219</v>
      </c>
    </row>
    <row r="16" customFormat="false" ht="14.25" hidden="false" customHeight="true" outlineLevel="0" collapsed="false">
      <c r="A16" s="7" t="s">
        <v>14</v>
      </c>
      <c r="B16" s="7" t="n">
        <v>15</v>
      </c>
      <c r="C16" s="7" t="s">
        <v>42</v>
      </c>
      <c r="D16" s="7" t="n">
        <v>0.917</v>
      </c>
      <c r="E16" s="9" t="s">
        <v>221</v>
      </c>
      <c r="F16" s="7" t="s">
        <v>215</v>
      </c>
      <c r="G16" s="7" t="n">
        <v>57876</v>
      </c>
      <c r="H16" s="7" t="n">
        <v>57877</v>
      </c>
      <c r="I16" s="7" t="s">
        <v>234</v>
      </c>
      <c r="J16" s="7" t="s">
        <v>219</v>
      </c>
    </row>
    <row r="17" customFormat="false" ht="14.25" hidden="false" customHeight="true" outlineLevel="0" collapsed="false">
      <c r="A17" s="7" t="s">
        <v>14</v>
      </c>
      <c r="B17" s="7" t="n">
        <v>16</v>
      </c>
      <c r="C17" s="7" t="s">
        <v>44</v>
      </c>
      <c r="D17" s="7" t="n">
        <v>0.794</v>
      </c>
      <c r="E17" s="8" t="s">
        <v>214</v>
      </c>
      <c r="F17" s="7" t="s">
        <v>215</v>
      </c>
      <c r="G17" s="7" t="n">
        <v>57930</v>
      </c>
      <c r="H17" s="7" t="n">
        <v>57931</v>
      </c>
      <c r="I17" s="7" t="s">
        <v>235</v>
      </c>
      <c r="J17" s="7" t="s">
        <v>219</v>
      </c>
    </row>
    <row r="18" customFormat="false" ht="14.25" hidden="false" customHeight="true" outlineLevel="0" collapsed="false">
      <c r="A18" s="7" t="s">
        <v>14</v>
      </c>
      <c r="B18" s="7" t="n">
        <v>17</v>
      </c>
      <c r="C18" s="7" t="s">
        <v>46</v>
      </c>
      <c r="D18" s="7" t="n">
        <v>0.882</v>
      </c>
      <c r="E18" s="9" t="s">
        <v>221</v>
      </c>
      <c r="F18" s="7" t="s">
        <v>215</v>
      </c>
      <c r="G18" s="7" t="n">
        <v>57978</v>
      </c>
      <c r="H18" s="7" t="n">
        <v>57979</v>
      </c>
      <c r="I18" s="7" t="s">
        <v>236</v>
      </c>
      <c r="J18" s="7" t="s">
        <v>219</v>
      </c>
    </row>
    <row r="19" customFormat="false" ht="14.25" hidden="false" customHeight="true" outlineLevel="0" collapsed="false">
      <c r="A19" s="7" t="s">
        <v>14</v>
      </c>
      <c r="B19" s="7" t="n">
        <v>18</v>
      </c>
      <c r="C19" s="7" t="s">
        <v>48</v>
      </c>
      <c r="D19" s="7" t="n">
        <v>0.87</v>
      </c>
      <c r="E19" s="9" t="s">
        <v>221</v>
      </c>
      <c r="F19" s="7" t="s">
        <v>215</v>
      </c>
      <c r="G19" s="7" t="n">
        <v>58028</v>
      </c>
      <c r="H19" s="7" t="n">
        <v>58029</v>
      </c>
      <c r="I19" s="7" t="s">
        <v>237</v>
      </c>
      <c r="J19" s="7" t="s">
        <v>219</v>
      </c>
    </row>
    <row r="20" customFormat="false" ht="14.25" hidden="false" customHeight="true" outlineLevel="0" collapsed="false">
      <c r="A20" s="7" t="s">
        <v>14</v>
      </c>
      <c r="B20" s="7" t="n">
        <v>19</v>
      </c>
      <c r="C20" s="7" t="s">
        <v>50</v>
      </c>
      <c r="D20" s="7" t="n">
        <v>0.853</v>
      </c>
      <c r="E20" s="9" t="s">
        <v>221</v>
      </c>
      <c r="F20" s="7" t="s">
        <v>215</v>
      </c>
      <c r="G20" s="7" t="n">
        <v>58104</v>
      </c>
      <c r="H20" s="7" t="n">
        <v>58105</v>
      </c>
      <c r="I20" s="7" t="s">
        <v>238</v>
      </c>
      <c r="J20" s="7" t="s">
        <v>219</v>
      </c>
    </row>
    <row r="21" customFormat="false" ht="14.25" hidden="false" customHeight="true" outlineLevel="0" collapsed="false">
      <c r="A21" s="7" t="s">
        <v>14</v>
      </c>
      <c r="B21" s="7" t="n">
        <v>20</v>
      </c>
      <c r="C21" s="7" t="s">
        <v>52</v>
      </c>
      <c r="D21" s="7" t="n">
        <v>0.667</v>
      </c>
      <c r="E21" s="8" t="s">
        <v>214</v>
      </c>
      <c r="F21" s="7" t="s">
        <v>215</v>
      </c>
      <c r="G21" s="7" t="n">
        <v>3876</v>
      </c>
      <c r="H21" s="7" t="n">
        <v>3877</v>
      </c>
      <c r="I21" s="7" t="s">
        <v>239</v>
      </c>
      <c r="J21" s="7" t="s">
        <v>217</v>
      </c>
    </row>
    <row r="22" customFormat="false" ht="14.25" hidden="false" customHeight="true" outlineLevel="0" collapsed="false">
      <c r="A22" s="7" t="s">
        <v>14</v>
      </c>
      <c r="B22" s="7" t="n">
        <v>21</v>
      </c>
      <c r="C22" s="7" t="s">
        <v>53</v>
      </c>
      <c r="D22" s="7" t="n">
        <v>0.867</v>
      </c>
      <c r="E22" s="9" t="s">
        <v>221</v>
      </c>
      <c r="F22" s="7" t="s">
        <v>215</v>
      </c>
      <c r="G22" s="7" t="n">
        <v>58200</v>
      </c>
      <c r="H22" s="7" t="n">
        <v>58201</v>
      </c>
      <c r="I22" s="7" t="s">
        <v>240</v>
      </c>
      <c r="J22" s="7" t="s">
        <v>219</v>
      </c>
    </row>
    <row r="23" customFormat="false" ht="26.25" hidden="false" customHeight="true" outlineLevel="0" collapsed="false">
      <c r="A23" s="7" t="s">
        <v>14</v>
      </c>
      <c r="B23" s="7" t="n">
        <v>22</v>
      </c>
      <c r="C23" s="7" t="s">
        <v>55</v>
      </c>
      <c r="D23" s="7" t="n">
        <v>0.875</v>
      </c>
      <c r="E23" s="9" t="s">
        <v>221</v>
      </c>
      <c r="F23" s="7" t="s">
        <v>215</v>
      </c>
      <c r="G23" s="7" t="n">
        <v>58242</v>
      </c>
      <c r="H23" s="7" t="n">
        <v>58243</v>
      </c>
      <c r="I23" s="7" t="s">
        <v>241</v>
      </c>
      <c r="J23" s="7" t="s">
        <v>219</v>
      </c>
    </row>
    <row r="24" customFormat="false" ht="14.25" hidden="false" customHeight="true" outlineLevel="0" collapsed="false">
      <c r="A24" s="7" t="s">
        <v>14</v>
      </c>
      <c r="B24" s="7" t="n">
        <v>23</v>
      </c>
      <c r="C24" s="7" t="s">
        <v>57</v>
      </c>
      <c r="D24" s="7" t="n">
        <v>0.769</v>
      </c>
      <c r="E24" s="8" t="s">
        <v>214</v>
      </c>
      <c r="F24" s="7" t="s">
        <v>215</v>
      </c>
      <c r="G24" s="7" t="n">
        <v>58298</v>
      </c>
      <c r="H24" s="7" t="n">
        <v>58299</v>
      </c>
      <c r="I24" s="7" t="s">
        <v>242</v>
      </c>
      <c r="J24" s="7" t="s">
        <v>219</v>
      </c>
    </row>
    <row r="25" customFormat="false" ht="14.25" hidden="false" customHeight="true" outlineLevel="0" collapsed="false">
      <c r="A25" s="7" t="s">
        <v>14</v>
      </c>
      <c r="B25" s="7" t="n">
        <v>24</v>
      </c>
      <c r="C25" s="7" t="s">
        <v>59</v>
      </c>
      <c r="D25" s="7" t="n">
        <v>0.938</v>
      </c>
      <c r="E25" s="9" t="s">
        <v>221</v>
      </c>
      <c r="F25" s="7" t="s">
        <v>215</v>
      </c>
      <c r="G25" s="7" t="n">
        <v>58362</v>
      </c>
      <c r="H25" s="7" t="n">
        <v>58363</v>
      </c>
      <c r="I25" s="7" t="s">
        <v>243</v>
      </c>
      <c r="J25" s="7" t="s">
        <v>219</v>
      </c>
    </row>
    <row r="26" customFormat="false" ht="14.25" hidden="false" customHeight="true" outlineLevel="0" collapsed="false">
      <c r="A26" s="7" t="s">
        <v>14</v>
      </c>
      <c r="B26" s="7" t="n">
        <v>25</v>
      </c>
      <c r="C26" s="7" t="s">
        <v>61</v>
      </c>
      <c r="D26" s="7" t="n">
        <v>0.923</v>
      </c>
      <c r="E26" s="9" t="s">
        <v>221</v>
      </c>
      <c r="F26" s="7" t="s">
        <v>215</v>
      </c>
      <c r="G26" s="7" t="n">
        <v>58420</v>
      </c>
      <c r="H26" s="7" t="n">
        <v>58421</v>
      </c>
      <c r="I26" s="7" t="s">
        <v>244</v>
      </c>
      <c r="J26" s="7" t="s">
        <v>219</v>
      </c>
    </row>
    <row r="27" customFormat="false" ht="14.25" hidden="false" customHeight="true" outlineLevel="0" collapsed="false">
      <c r="A27" s="7" t="s">
        <v>14</v>
      </c>
      <c r="B27" s="7" t="n">
        <v>26</v>
      </c>
      <c r="C27" s="7" t="s">
        <v>62</v>
      </c>
      <c r="D27" s="7" t="n">
        <v>0.909</v>
      </c>
      <c r="E27" s="9" t="s">
        <v>221</v>
      </c>
      <c r="F27" s="7" t="s">
        <v>215</v>
      </c>
      <c r="G27" s="7" t="n">
        <v>8580</v>
      </c>
      <c r="H27" s="7" t="n">
        <v>8581</v>
      </c>
      <c r="I27" s="7" t="s">
        <v>245</v>
      </c>
      <c r="J27" s="7" t="s">
        <v>219</v>
      </c>
    </row>
    <row r="28" customFormat="false" ht="14.25" hidden="false" customHeight="true" outlineLevel="0" collapsed="false">
      <c r="A28" s="7" t="s">
        <v>14</v>
      </c>
      <c r="B28" s="7" t="n">
        <v>27</v>
      </c>
      <c r="C28" s="7" t="s">
        <v>64</v>
      </c>
      <c r="D28" s="7" t="n">
        <v>0.909</v>
      </c>
      <c r="E28" s="9" t="s">
        <v>221</v>
      </c>
      <c r="F28" s="7" t="s">
        <v>215</v>
      </c>
      <c r="G28" s="7" t="n">
        <v>598</v>
      </c>
      <c r="H28" s="7" t="n">
        <v>599</v>
      </c>
      <c r="I28" s="7" t="s">
        <v>246</v>
      </c>
      <c r="J28" s="7" t="s">
        <v>219</v>
      </c>
    </row>
    <row r="29" customFormat="false" ht="14.25" hidden="false" customHeight="true" outlineLevel="0" collapsed="false">
      <c r="A29" s="7" t="s">
        <v>14</v>
      </c>
      <c r="B29" s="7" t="n">
        <v>28</v>
      </c>
      <c r="C29" s="7" t="s">
        <v>66</v>
      </c>
      <c r="D29" s="7" t="n">
        <v>0.529</v>
      </c>
      <c r="E29" s="10" t="s">
        <v>224</v>
      </c>
      <c r="F29" s="7" t="s">
        <v>215</v>
      </c>
      <c r="G29" s="7" t="n">
        <v>30108</v>
      </c>
      <c r="H29" s="7" t="n">
        <v>30109</v>
      </c>
      <c r="I29" s="7" t="s">
        <v>247</v>
      </c>
      <c r="J29" s="7" t="s">
        <v>217</v>
      </c>
    </row>
    <row r="30" customFormat="false" ht="14.25" hidden="false" customHeight="true" outlineLevel="0" collapsed="false">
      <c r="A30" s="7" t="s">
        <v>14</v>
      </c>
      <c r="B30" s="7" t="n">
        <v>29</v>
      </c>
      <c r="C30" s="7" t="s">
        <v>67</v>
      </c>
      <c r="D30" s="7" t="n">
        <v>0.8</v>
      </c>
      <c r="E30" s="8" t="s">
        <v>214</v>
      </c>
      <c r="F30" s="7" t="s">
        <v>215</v>
      </c>
      <c r="G30" s="7" t="n">
        <v>8590</v>
      </c>
      <c r="H30" s="7" t="n">
        <v>8591</v>
      </c>
      <c r="I30" s="7" t="s">
        <v>248</v>
      </c>
      <c r="J30" s="7" t="s">
        <v>219</v>
      </c>
    </row>
    <row r="31" customFormat="false" ht="14.25" hidden="false" customHeight="true" outlineLevel="0" collapsed="false">
      <c r="A31" s="7" t="s">
        <v>14</v>
      </c>
      <c r="B31" s="7" t="n">
        <v>30</v>
      </c>
      <c r="C31" s="7" t="s">
        <v>69</v>
      </c>
      <c r="D31" s="7" t="n">
        <v>0.933</v>
      </c>
      <c r="E31" s="9" t="s">
        <v>221</v>
      </c>
      <c r="F31" s="7" t="s">
        <v>215</v>
      </c>
      <c r="G31" s="7" t="n">
        <v>58700</v>
      </c>
      <c r="H31" s="7" t="n">
        <v>58701</v>
      </c>
      <c r="I31" s="7" t="s">
        <v>249</v>
      </c>
      <c r="J31" s="7" t="s">
        <v>219</v>
      </c>
    </row>
    <row r="32" customFormat="false" ht="14.25" hidden="false" customHeight="true" outlineLevel="0" collapsed="false">
      <c r="A32" s="7" t="s">
        <v>71</v>
      </c>
      <c r="B32" s="7" t="n">
        <v>1</v>
      </c>
      <c r="C32" s="7" t="s">
        <v>72</v>
      </c>
      <c r="D32" s="7" t="n">
        <v>1</v>
      </c>
      <c r="E32" s="9" t="s">
        <v>221</v>
      </c>
      <c r="F32" s="7" t="s">
        <v>250</v>
      </c>
      <c r="G32" s="7" t="n">
        <v>6022</v>
      </c>
      <c r="H32" s="7" t="n">
        <v>6023</v>
      </c>
      <c r="I32" s="7" t="s">
        <v>72</v>
      </c>
      <c r="J32" s="1" t="s">
        <v>217</v>
      </c>
    </row>
    <row r="33" customFormat="false" ht="26.25" hidden="false" customHeight="true" outlineLevel="0" collapsed="false">
      <c r="A33" s="7" t="s">
        <v>71</v>
      </c>
      <c r="B33" s="7" t="n">
        <v>2</v>
      </c>
      <c r="C33" s="7" t="s">
        <v>73</v>
      </c>
      <c r="D33" s="7" t="n">
        <v>0.903</v>
      </c>
      <c r="E33" s="9" t="s">
        <v>221</v>
      </c>
      <c r="F33" s="7" t="s">
        <v>250</v>
      </c>
      <c r="G33" s="7" t="n">
        <v>7154</v>
      </c>
      <c r="H33" s="7" t="n">
        <v>7155</v>
      </c>
      <c r="I33" s="7" t="s">
        <v>251</v>
      </c>
      <c r="J33" s="7" t="s">
        <v>219</v>
      </c>
    </row>
    <row r="34" customFormat="false" ht="14.25" hidden="false" customHeight="true" outlineLevel="0" collapsed="false">
      <c r="A34" s="7" t="s">
        <v>71</v>
      </c>
      <c r="B34" s="7" t="n">
        <v>3</v>
      </c>
      <c r="C34" s="7" t="s">
        <v>75</v>
      </c>
      <c r="D34" s="7" t="n">
        <v>0.737</v>
      </c>
      <c r="E34" s="8" t="s">
        <v>214</v>
      </c>
      <c r="F34" s="7" t="s">
        <v>250</v>
      </c>
      <c r="G34" s="7" t="n">
        <v>8944</v>
      </c>
      <c r="H34" s="7" t="n">
        <v>8945</v>
      </c>
      <c r="I34" s="7" t="s">
        <v>252</v>
      </c>
      <c r="J34" s="7" t="s">
        <v>219</v>
      </c>
    </row>
    <row r="35" customFormat="false" ht="14.25" hidden="false" customHeight="true" outlineLevel="0" collapsed="false">
      <c r="A35" s="7" t="s">
        <v>71</v>
      </c>
      <c r="B35" s="7" t="n">
        <v>4</v>
      </c>
      <c r="C35" s="7" t="s">
        <v>76</v>
      </c>
      <c r="D35" s="7" t="n">
        <v>1</v>
      </c>
      <c r="E35" s="9" t="s">
        <v>221</v>
      </c>
      <c r="F35" s="7" t="s">
        <v>250</v>
      </c>
      <c r="G35" s="7" t="n">
        <v>10736</v>
      </c>
      <c r="H35" s="7" t="n">
        <v>10737</v>
      </c>
      <c r="I35" s="7" t="s">
        <v>253</v>
      </c>
      <c r="J35" s="7" t="s">
        <v>219</v>
      </c>
    </row>
    <row r="36" customFormat="false" ht="14.25" hidden="false" customHeight="true" outlineLevel="0" collapsed="false">
      <c r="A36" s="7" t="s">
        <v>71</v>
      </c>
      <c r="B36" s="7" t="n">
        <v>5</v>
      </c>
      <c r="C36" s="7" t="s">
        <v>78</v>
      </c>
      <c r="D36" s="7" t="n">
        <v>0.64</v>
      </c>
      <c r="E36" s="10" t="s">
        <v>224</v>
      </c>
      <c r="F36" s="7" t="s">
        <v>250</v>
      </c>
      <c r="G36" s="7" t="n">
        <v>10556</v>
      </c>
      <c r="H36" s="7" t="n">
        <v>10557</v>
      </c>
      <c r="I36" s="7" t="s">
        <v>254</v>
      </c>
      <c r="J36" s="7" t="s">
        <v>217</v>
      </c>
    </row>
    <row r="37" customFormat="false" ht="14.25" hidden="false" customHeight="true" outlineLevel="0" collapsed="false">
      <c r="A37" s="7" t="s">
        <v>71</v>
      </c>
      <c r="B37" s="7" t="n">
        <v>6</v>
      </c>
      <c r="C37" s="7" t="s">
        <v>79</v>
      </c>
      <c r="D37" s="7" t="n">
        <v>1</v>
      </c>
      <c r="E37" s="9" t="s">
        <v>221</v>
      </c>
      <c r="F37" s="7" t="s">
        <v>250</v>
      </c>
      <c r="G37" s="7" t="n">
        <v>14208</v>
      </c>
      <c r="H37" s="7" t="n">
        <v>14209</v>
      </c>
      <c r="I37" s="7" t="s">
        <v>79</v>
      </c>
      <c r="J37" s="7" t="s">
        <v>219</v>
      </c>
    </row>
    <row r="38" customFormat="false" ht="14.25" hidden="false" customHeight="true" outlineLevel="0" collapsed="false">
      <c r="A38" s="7" t="s">
        <v>71</v>
      </c>
      <c r="B38" s="7" t="n">
        <v>7</v>
      </c>
      <c r="C38" s="7" t="s">
        <v>81</v>
      </c>
      <c r="D38" s="7" t="n">
        <v>0.985</v>
      </c>
      <c r="E38" s="9" t="s">
        <v>221</v>
      </c>
      <c r="F38" s="7" t="s">
        <v>250</v>
      </c>
      <c r="G38" s="7" t="n">
        <v>15912</v>
      </c>
      <c r="H38" s="7" t="n">
        <v>15913</v>
      </c>
      <c r="I38" s="7" t="s">
        <v>255</v>
      </c>
      <c r="J38" s="7" t="s">
        <v>219</v>
      </c>
    </row>
    <row r="39" customFormat="false" ht="14.25" hidden="false" customHeight="true" outlineLevel="0" collapsed="false">
      <c r="A39" s="7" t="s">
        <v>71</v>
      </c>
      <c r="B39" s="7" t="n">
        <v>8</v>
      </c>
      <c r="C39" s="7" t="s">
        <v>83</v>
      </c>
      <c r="D39" s="7" t="n">
        <v>0.912</v>
      </c>
      <c r="E39" s="9" t="s">
        <v>221</v>
      </c>
      <c r="F39" s="7" t="s">
        <v>250</v>
      </c>
      <c r="G39" s="7" t="n">
        <v>17628</v>
      </c>
      <c r="H39" s="7" t="n">
        <v>17629</v>
      </c>
      <c r="I39" s="7" t="s">
        <v>256</v>
      </c>
      <c r="J39" s="7" t="s">
        <v>219</v>
      </c>
    </row>
    <row r="40" customFormat="false" ht="14.25" hidden="false" customHeight="true" outlineLevel="0" collapsed="false">
      <c r="A40" s="7" t="s">
        <v>71</v>
      </c>
      <c r="B40" s="7" t="n">
        <v>9</v>
      </c>
      <c r="C40" s="7" t="s">
        <v>85</v>
      </c>
      <c r="D40" s="7" t="n">
        <v>0.912</v>
      </c>
      <c r="E40" s="9" t="s">
        <v>221</v>
      </c>
      <c r="F40" s="7" t="s">
        <v>250</v>
      </c>
      <c r="G40" s="7" t="n">
        <v>19230</v>
      </c>
      <c r="H40" s="7" t="n">
        <v>19231</v>
      </c>
      <c r="I40" s="7" t="s">
        <v>257</v>
      </c>
      <c r="J40" s="7" t="s">
        <v>219</v>
      </c>
    </row>
    <row r="41" customFormat="false" ht="14.25" hidden="false" customHeight="true" outlineLevel="0" collapsed="false">
      <c r="A41" s="7" t="s">
        <v>71</v>
      </c>
      <c r="B41" s="7" t="n">
        <v>10</v>
      </c>
      <c r="C41" s="7" t="s">
        <v>87</v>
      </c>
      <c r="D41" s="7" t="n">
        <v>0.857</v>
      </c>
      <c r="E41" s="9" t="s">
        <v>221</v>
      </c>
      <c r="F41" s="7" t="s">
        <v>250</v>
      </c>
      <c r="G41" s="7" t="n">
        <v>20892</v>
      </c>
      <c r="H41" s="7" t="n">
        <v>20893</v>
      </c>
      <c r="I41" s="7" t="s">
        <v>258</v>
      </c>
      <c r="J41" s="7" t="s">
        <v>219</v>
      </c>
    </row>
    <row r="42" customFormat="false" ht="14.25" hidden="false" customHeight="true" outlineLevel="0" collapsed="false">
      <c r="A42" s="7" t="s">
        <v>71</v>
      </c>
      <c r="B42" s="7" t="n">
        <v>11</v>
      </c>
      <c r="C42" s="7" t="s">
        <v>89</v>
      </c>
      <c r="D42" s="7" t="n">
        <v>0.9</v>
      </c>
      <c r="E42" s="9" t="s">
        <v>221</v>
      </c>
      <c r="F42" s="7" t="s">
        <v>250</v>
      </c>
      <c r="G42" s="7" t="n">
        <v>22686</v>
      </c>
      <c r="H42" s="7" t="n">
        <v>22687</v>
      </c>
      <c r="I42" s="7" t="s">
        <v>259</v>
      </c>
      <c r="J42" s="7" t="s">
        <v>219</v>
      </c>
    </row>
    <row r="43" customFormat="false" ht="14.25" hidden="false" customHeight="true" outlineLevel="0" collapsed="false">
      <c r="A43" s="7" t="s">
        <v>71</v>
      </c>
      <c r="B43" s="7" t="n">
        <v>12</v>
      </c>
      <c r="C43" s="7" t="s">
        <v>91</v>
      </c>
      <c r="D43" s="7" t="n">
        <v>0.954</v>
      </c>
      <c r="E43" s="9" t="s">
        <v>221</v>
      </c>
      <c r="F43" s="7" t="s">
        <v>250</v>
      </c>
      <c r="G43" s="7" t="n">
        <v>24380</v>
      </c>
      <c r="H43" s="7" t="n">
        <v>24381</v>
      </c>
      <c r="I43" s="7" t="s">
        <v>260</v>
      </c>
      <c r="J43" s="7" t="s">
        <v>219</v>
      </c>
    </row>
    <row r="44" customFormat="false" ht="14.25" hidden="false" customHeight="true" outlineLevel="0" collapsed="false">
      <c r="A44" s="7" t="s">
        <v>71</v>
      </c>
      <c r="B44" s="7" t="n">
        <v>13</v>
      </c>
      <c r="C44" s="7" t="s">
        <v>93</v>
      </c>
      <c r="D44" s="7" t="n">
        <v>0.483</v>
      </c>
      <c r="E44" s="10" t="s">
        <v>224</v>
      </c>
      <c r="F44" s="7" t="s">
        <v>250</v>
      </c>
      <c r="G44" s="7" t="n">
        <v>26124</v>
      </c>
      <c r="H44" s="7" t="n">
        <v>26125</v>
      </c>
      <c r="I44" s="7" t="s">
        <v>261</v>
      </c>
      <c r="J44" s="7" t="s">
        <v>219</v>
      </c>
    </row>
    <row r="45" customFormat="false" ht="14.25" hidden="false" customHeight="true" outlineLevel="0" collapsed="false">
      <c r="A45" s="7" t="s">
        <v>71</v>
      </c>
      <c r="B45" s="7" t="n">
        <v>14</v>
      </c>
      <c r="C45" s="7" t="s">
        <v>95</v>
      </c>
      <c r="D45" s="7" t="n">
        <v>0.5</v>
      </c>
      <c r="E45" s="10" t="s">
        <v>224</v>
      </c>
      <c r="F45" s="7" t="s">
        <v>250</v>
      </c>
      <c r="G45" s="7" t="n">
        <v>27836</v>
      </c>
      <c r="H45" s="7" t="n">
        <v>27837</v>
      </c>
      <c r="I45" s="7" t="s">
        <v>262</v>
      </c>
      <c r="J45" s="7" t="s">
        <v>219</v>
      </c>
    </row>
    <row r="46" customFormat="false" ht="14.25" hidden="false" customHeight="true" outlineLevel="0" collapsed="false">
      <c r="A46" s="7" t="s">
        <v>71</v>
      </c>
      <c r="B46" s="7" t="n">
        <v>15</v>
      </c>
      <c r="C46" s="7" t="s">
        <v>98</v>
      </c>
      <c r="D46" s="7" t="n">
        <v>0.632</v>
      </c>
      <c r="E46" s="10" t="s">
        <v>224</v>
      </c>
      <c r="F46" s="7" t="s">
        <v>250</v>
      </c>
      <c r="G46" s="7" t="n">
        <v>29542</v>
      </c>
      <c r="H46" s="7" t="n">
        <v>29543</v>
      </c>
      <c r="I46" s="7" t="s">
        <v>263</v>
      </c>
      <c r="J46" s="7" t="s">
        <v>219</v>
      </c>
    </row>
    <row r="47" customFormat="false" ht="14.25" hidden="false" customHeight="true" outlineLevel="0" collapsed="false">
      <c r="A47" s="7" t="s">
        <v>71</v>
      </c>
      <c r="B47" s="7" t="n">
        <v>16</v>
      </c>
      <c r="C47" s="7" t="s">
        <v>100</v>
      </c>
      <c r="D47" s="7" t="n">
        <v>0.952</v>
      </c>
      <c r="E47" s="9" t="s">
        <v>221</v>
      </c>
      <c r="F47" s="7" t="s">
        <v>250</v>
      </c>
      <c r="G47" s="7" t="n">
        <v>31400</v>
      </c>
      <c r="H47" s="7" t="n">
        <v>31401</v>
      </c>
      <c r="I47" s="7" t="s">
        <v>264</v>
      </c>
      <c r="J47" s="7" t="s">
        <v>219</v>
      </c>
    </row>
    <row r="48" customFormat="false" ht="26.25" hidden="false" customHeight="true" outlineLevel="0" collapsed="false">
      <c r="A48" s="7" t="s">
        <v>71</v>
      </c>
      <c r="B48" s="7" t="n">
        <v>17</v>
      </c>
      <c r="C48" s="7" t="s">
        <v>102</v>
      </c>
      <c r="D48" s="7" t="n">
        <v>0.645</v>
      </c>
      <c r="E48" s="10" t="s">
        <v>224</v>
      </c>
      <c r="F48" s="7" t="s">
        <v>250</v>
      </c>
      <c r="G48" s="7" t="n">
        <v>33302</v>
      </c>
      <c r="H48" s="7" t="n">
        <v>33303</v>
      </c>
      <c r="I48" s="7" t="s">
        <v>265</v>
      </c>
      <c r="J48" s="7" t="s">
        <v>219</v>
      </c>
    </row>
    <row r="49" customFormat="false" ht="14.25" hidden="false" customHeight="true" outlineLevel="0" collapsed="false">
      <c r="A49" s="7" t="s">
        <v>71</v>
      </c>
      <c r="B49" s="7" t="n">
        <v>18</v>
      </c>
      <c r="C49" s="7" t="s">
        <v>105</v>
      </c>
      <c r="D49" s="7" t="n">
        <v>0.836</v>
      </c>
      <c r="E49" s="8" t="s">
        <v>214</v>
      </c>
      <c r="F49" s="7" t="s">
        <v>250</v>
      </c>
      <c r="G49" s="7" t="n">
        <v>35068</v>
      </c>
      <c r="H49" s="7" t="n">
        <v>35069</v>
      </c>
      <c r="I49" s="7" t="s">
        <v>266</v>
      </c>
      <c r="J49" s="7" t="s">
        <v>219</v>
      </c>
    </row>
    <row r="50" customFormat="false" ht="14.25" hidden="false" customHeight="true" outlineLevel="0" collapsed="false">
      <c r="A50" s="7" t="s">
        <v>71</v>
      </c>
      <c r="B50" s="7" t="n">
        <v>19</v>
      </c>
      <c r="C50" s="7" t="s">
        <v>107</v>
      </c>
      <c r="D50" s="7" t="n">
        <v>0.737</v>
      </c>
      <c r="E50" s="8" t="s">
        <v>214</v>
      </c>
      <c r="F50" s="7" t="s">
        <v>250</v>
      </c>
      <c r="G50" s="7" t="n">
        <v>36780</v>
      </c>
      <c r="H50" s="7" t="n">
        <v>36781</v>
      </c>
      <c r="I50" s="7" t="s">
        <v>267</v>
      </c>
      <c r="J50" s="7" t="s">
        <v>219</v>
      </c>
    </row>
    <row r="51" customFormat="false" ht="26.25" hidden="false" customHeight="true" outlineLevel="0" collapsed="false">
      <c r="A51" s="7" t="s">
        <v>71</v>
      </c>
      <c r="B51" s="7" t="n">
        <v>20</v>
      </c>
      <c r="C51" s="7" t="s">
        <v>108</v>
      </c>
      <c r="D51" s="7" t="n">
        <v>0.667</v>
      </c>
      <c r="E51" s="8" t="s">
        <v>214</v>
      </c>
      <c r="F51" s="7" t="s">
        <v>250</v>
      </c>
      <c r="G51" s="7" t="n">
        <v>38570</v>
      </c>
      <c r="H51" s="7" t="n">
        <v>38571</v>
      </c>
      <c r="I51" s="7" t="s">
        <v>268</v>
      </c>
      <c r="J51" s="7" t="s">
        <v>219</v>
      </c>
    </row>
    <row r="52" customFormat="false" ht="14.25" hidden="false" customHeight="true" outlineLevel="0" collapsed="false">
      <c r="A52" s="7" t="s">
        <v>71</v>
      </c>
      <c r="B52" s="7" t="n">
        <v>21</v>
      </c>
      <c r="C52" s="7" t="s">
        <v>110</v>
      </c>
      <c r="D52" s="7" t="n">
        <v>0.667</v>
      </c>
      <c r="E52" s="8" t="s">
        <v>214</v>
      </c>
      <c r="F52" s="7" t="s">
        <v>250</v>
      </c>
      <c r="G52" s="7" t="n">
        <v>4102</v>
      </c>
      <c r="H52" s="7" t="n">
        <v>4103</v>
      </c>
      <c r="I52" s="7" t="s">
        <v>269</v>
      </c>
      <c r="J52" s="7" t="s">
        <v>219</v>
      </c>
    </row>
    <row r="53" customFormat="false" ht="14.25" hidden="false" customHeight="true" outlineLevel="0" collapsed="false">
      <c r="A53" s="7" t="s">
        <v>71</v>
      </c>
      <c r="B53" s="7" t="n">
        <v>22</v>
      </c>
      <c r="C53" s="7" t="s">
        <v>112</v>
      </c>
      <c r="D53" s="7" t="n">
        <v>0.986</v>
      </c>
      <c r="E53" s="9" t="s">
        <v>221</v>
      </c>
      <c r="F53" s="7" t="s">
        <v>250</v>
      </c>
      <c r="G53" s="7" t="n">
        <v>41706</v>
      </c>
      <c r="H53" s="7" t="n">
        <v>41707</v>
      </c>
      <c r="I53" s="7" t="s">
        <v>270</v>
      </c>
      <c r="J53" s="7" t="s">
        <v>219</v>
      </c>
    </row>
    <row r="54" customFormat="false" ht="14.25" hidden="false" customHeight="true" outlineLevel="0" collapsed="false">
      <c r="A54" s="7" t="s">
        <v>71</v>
      </c>
      <c r="B54" s="7" t="n">
        <v>23</v>
      </c>
      <c r="C54" s="7" t="s">
        <v>114</v>
      </c>
      <c r="D54" s="7" t="n">
        <v>0.345</v>
      </c>
      <c r="E54" s="10" t="s">
        <v>224</v>
      </c>
      <c r="F54" s="7" t="s">
        <v>250</v>
      </c>
      <c r="G54" s="7" t="n">
        <v>4302</v>
      </c>
      <c r="H54" s="7" t="n">
        <v>4303</v>
      </c>
      <c r="I54" s="7" t="s">
        <v>271</v>
      </c>
      <c r="J54" s="7" t="s">
        <v>219</v>
      </c>
    </row>
    <row r="55" customFormat="false" ht="14.25" hidden="false" customHeight="true" outlineLevel="0" collapsed="false">
      <c r="A55" s="7" t="s">
        <v>71</v>
      </c>
      <c r="B55" s="7" t="n">
        <v>24</v>
      </c>
      <c r="C55" s="7" t="s">
        <v>116</v>
      </c>
      <c r="D55" s="7" t="n">
        <v>0.914</v>
      </c>
      <c r="E55" s="9" t="s">
        <v>221</v>
      </c>
      <c r="F55" s="7" t="s">
        <v>250</v>
      </c>
      <c r="G55" s="7" t="n">
        <v>44846</v>
      </c>
      <c r="H55" s="7" t="n">
        <v>44847</v>
      </c>
      <c r="I55" s="7" t="s">
        <v>272</v>
      </c>
      <c r="J55" s="7" t="s">
        <v>219</v>
      </c>
    </row>
    <row r="56" customFormat="false" ht="14.25" hidden="false" customHeight="true" outlineLevel="0" collapsed="false">
      <c r="A56" s="7" t="s">
        <v>71</v>
      </c>
      <c r="B56" s="7" t="n">
        <v>25</v>
      </c>
      <c r="C56" s="7" t="s">
        <v>118</v>
      </c>
      <c r="D56" s="7" t="n">
        <v>0.822</v>
      </c>
      <c r="E56" s="8" t="s">
        <v>214</v>
      </c>
      <c r="F56" s="7" t="s">
        <v>250</v>
      </c>
      <c r="G56" s="7" t="n">
        <v>46328</v>
      </c>
      <c r="H56" s="7" t="n">
        <v>46329</v>
      </c>
      <c r="I56" s="7" t="s">
        <v>273</v>
      </c>
      <c r="J56" s="7" t="s">
        <v>219</v>
      </c>
    </row>
    <row r="57" customFormat="false" ht="26.25" hidden="false" customHeight="true" outlineLevel="0" collapsed="false">
      <c r="A57" s="7" t="s">
        <v>71</v>
      </c>
      <c r="B57" s="7" t="n">
        <v>26</v>
      </c>
      <c r="C57" s="7" t="s">
        <v>120</v>
      </c>
      <c r="D57" s="7" t="n">
        <v>0.544</v>
      </c>
      <c r="E57" s="10" t="s">
        <v>224</v>
      </c>
      <c r="F57" s="7" t="s">
        <v>250</v>
      </c>
      <c r="G57" s="7" t="n">
        <v>47620</v>
      </c>
      <c r="H57" s="7" t="n">
        <v>47621</v>
      </c>
      <c r="I57" s="7" t="s">
        <v>274</v>
      </c>
      <c r="J57" s="7" t="s">
        <v>219</v>
      </c>
    </row>
    <row r="58" customFormat="false" ht="26.25" hidden="false" customHeight="true" outlineLevel="0" collapsed="false">
      <c r="A58" s="7" t="s">
        <v>71</v>
      </c>
      <c r="B58" s="7" t="n">
        <v>27</v>
      </c>
      <c r="C58" s="7" t="s">
        <v>122</v>
      </c>
      <c r="D58" s="7" t="n">
        <v>0.913</v>
      </c>
      <c r="E58" s="9" t="s">
        <v>221</v>
      </c>
      <c r="F58" s="7" t="s">
        <v>250</v>
      </c>
      <c r="G58" s="7" t="n">
        <v>49318</v>
      </c>
      <c r="H58" s="7" t="n">
        <v>49319</v>
      </c>
      <c r="I58" s="7" t="s">
        <v>275</v>
      </c>
      <c r="J58" s="7" t="s">
        <v>219</v>
      </c>
    </row>
    <row r="59" customFormat="false" ht="14.25" hidden="false" customHeight="true" outlineLevel="0" collapsed="false">
      <c r="A59" s="7" t="s">
        <v>71</v>
      </c>
      <c r="B59" s="7" t="n">
        <v>28</v>
      </c>
      <c r="C59" s="7" t="s">
        <v>124</v>
      </c>
      <c r="D59" s="7" t="n">
        <v>0.656</v>
      </c>
      <c r="E59" s="8" t="s">
        <v>214</v>
      </c>
      <c r="F59" s="7" t="s">
        <v>250</v>
      </c>
      <c r="G59" s="7" t="n">
        <v>50964</v>
      </c>
      <c r="H59" s="7" t="n">
        <v>50965</v>
      </c>
      <c r="I59" s="7" t="s">
        <v>276</v>
      </c>
      <c r="J59" s="7" t="s">
        <v>219</v>
      </c>
    </row>
    <row r="60" customFormat="false" ht="14.25" hidden="false" customHeight="true" outlineLevel="0" collapsed="false">
      <c r="A60" s="7" t="s">
        <v>71</v>
      </c>
      <c r="B60" s="7" t="n">
        <v>29</v>
      </c>
      <c r="C60" s="7" t="s">
        <v>126</v>
      </c>
      <c r="D60" s="7" t="n">
        <v>0.972</v>
      </c>
      <c r="E60" s="9" t="s">
        <v>221</v>
      </c>
      <c r="F60" s="7" t="s">
        <v>250</v>
      </c>
      <c r="G60" s="7" t="n">
        <v>52252</v>
      </c>
      <c r="H60" s="7" t="n">
        <v>52253</v>
      </c>
      <c r="I60" s="7" t="s">
        <v>277</v>
      </c>
      <c r="J60" s="7" t="s">
        <v>219</v>
      </c>
    </row>
    <row r="61" customFormat="false" ht="39" hidden="false" customHeight="true" outlineLevel="0" collapsed="false">
      <c r="A61" s="7" t="s">
        <v>71</v>
      </c>
      <c r="B61" s="7" t="n">
        <v>30</v>
      </c>
      <c r="C61" s="7" t="s">
        <v>128</v>
      </c>
      <c r="D61" s="7" t="n">
        <v>0.657</v>
      </c>
      <c r="E61" s="8" t="s">
        <v>214</v>
      </c>
      <c r="F61" s="7" t="s">
        <v>250</v>
      </c>
      <c r="G61" s="7" t="n">
        <v>53576</v>
      </c>
      <c r="H61" s="7" t="n">
        <v>53577</v>
      </c>
      <c r="I61" s="7" t="s">
        <v>278</v>
      </c>
      <c r="J61" s="7" t="s">
        <v>219</v>
      </c>
    </row>
    <row r="62" customFormat="false" ht="14.25" hidden="false" customHeight="true" outlineLevel="0" collapsed="false">
      <c r="A62" s="7" t="s">
        <v>130</v>
      </c>
      <c r="B62" s="7" t="n">
        <v>1</v>
      </c>
      <c r="C62" s="7" t="s">
        <v>131</v>
      </c>
      <c r="D62" s="7" t="n">
        <v>1</v>
      </c>
      <c r="E62" s="9" t="s">
        <v>221</v>
      </c>
      <c r="F62" s="7" t="s">
        <v>279</v>
      </c>
      <c r="G62" s="7" t="n">
        <v>8021</v>
      </c>
      <c r="H62" s="7" t="n">
        <v>8022</v>
      </c>
      <c r="I62" s="7" t="s">
        <v>280</v>
      </c>
      <c r="J62" s="7" t="s">
        <v>219</v>
      </c>
    </row>
    <row r="63" customFormat="false" ht="14.25" hidden="false" customHeight="true" outlineLevel="0" collapsed="false">
      <c r="A63" s="7" t="s">
        <v>130</v>
      </c>
      <c r="B63" s="7" t="n">
        <v>2</v>
      </c>
      <c r="C63" s="7" t="s">
        <v>133</v>
      </c>
      <c r="D63" s="7" t="n">
        <v>0.357</v>
      </c>
      <c r="E63" s="10" t="s">
        <v>224</v>
      </c>
      <c r="F63" s="7" t="s">
        <v>281</v>
      </c>
      <c r="G63" s="7" t="n">
        <v>6194</v>
      </c>
      <c r="H63" s="7" t="n">
        <v>6194</v>
      </c>
      <c r="I63" s="7" t="s">
        <v>282</v>
      </c>
      <c r="J63" s="7" t="s">
        <v>217</v>
      </c>
    </row>
    <row r="64" customFormat="false" ht="14.25" hidden="false" customHeight="true" outlineLevel="0" collapsed="false">
      <c r="A64" s="7" t="s">
        <v>130</v>
      </c>
      <c r="B64" s="7" t="n">
        <v>3</v>
      </c>
      <c r="C64" s="7" t="s">
        <v>134</v>
      </c>
      <c r="D64" s="7" t="n">
        <v>0.382</v>
      </c>
      <c r="E64" s="10" t="s">
        <v>224</v>
      </c>
      <c r="F64" s="7" t="s">
        <v>281</v>
      </c>
      <c r="G64" s="7" t="n">
        <v>48</v>
      </c>
      <c r="H64" s="7" t="n">
        <v>48</v>
      </c>
      <c r="I64" s="7" t="s">
        <v>283</v>
      </c>
      <c r="J64" s="7" t="s">
        <v>219</v>
      </c>
    </row>
    <row r="65" customFormat="false" ht="26.25" hidden="false" customHeight="true" outlineLevel="0" collapsed="false">
      <c r="A65" s="7" t="s">
        <v>130</v>
      </c>
      <c r="B65" s="7" t="n">
        <v>4</v>
      </c>
      <c r="C65" s="7" t="s">
        <v>136</v>
      </c>
      <c r="D65" s="7" t="n">
        <v>0.409</v>
      </c>
      <c r="E65" s="10" t="s">
        <v>224</v>
      </c>
      <c r="F65" s="7" t="s">
        <v>279</v>
      </c>
      <c r="G65" s="7" t="n">
        <v>866</v>
      </c>
      <c r="H65" s="7" t="n">
        <v>866</v>
      </c>
      <c r="I65" s="7" t="s">
        <v>284</v>
      </c>
      <c r="J65" s="7" t="s">
        <v>219</v>
      </c>
    </row>
    <row r="66" customFormat="false" ht="26.25" hidden="false" customHeight="true" outlineLevel="0" collapsed="false">
      <c r="A66" s="7" t="s">
        <v>130</v>
      </c>
      <c r="B66" s="7" t="n">
        <v>5</v>
      </c>
      <c r="C66" s="7" t="s">
        <v>139</v>
      </c>
      <c r="D66" s="7" t="n">
        <v>0.612</v>
      </c>
      <c r="E66" s="10" t="s">
        <v>224</v>
      </c>
      <c r="F66" s="7" t="s">
        <v>279</v>
      </c>
      <c r="G66" s="7" t="n">
        <v>2683</v>
      </c>
      <c r="H66" s="7" t="n">
        <v>2684</v>
      </c>
      <c r="I66" s="7" t="s">
        <v>285</v>
      </c>
      <c r="J66" s="7" t="s">
        <v>219</v>
      </c>
    </row>
    <row r="67" customFormat="false" ht="26.25" hidden="false" customHeight="true" outlineLevel="0" collapsed="false">
      <c r="A67" s="7" t="s">
        <v>130</v>
      </c>
      <c r="B67" s="7" t="n">
        <v>6</v>
      </c>
      <c r="C67" s="7" t="s">
        <v>141</v>
      </c>
      <c r="D67" s="7" t="n">
        <v>0.709</v>
      </c>
      <c r="E67" s="8" t="s">
        <v>214</v>
      </c>
      <c r="F67" s="7" t="s">
        <v>279</v>
      </c>
      <c r="G67" s="7" t="n">
        <v>6026</v>
      </c>
      <c r="H67" s="7" t="n">
        <v>6027</v>
      </c>
      <c r="I67" s="7" t="s">
        <v>286</v>
      </c>
      <c r="J67" s="7" t="s">
        <v>219</v>
      </c>
    </row>
    <row r="68" customFormat="false" ht="14.25" hidden="false" customHeight="true" outlineLevel="0" collapsed="false">
      <c r="A68" s="7" t="s">
        <v>130</v>
      </c>
      <c r="B68" s="7" t="n">
        <v>7</v>
      </c>
      <c r="C68" s="7" t="s">
        <v>143</v>
      </c>
      <c r="D68" s="7" t="n">
        <v>0.69</v>
      </c>
      <c r="E68" s="8" t="s">
        <v>214</v>
      </c>
      <c r="F68" s="7" t="s">
        <v>279</v>
      </c>
      <c r="G68" s="7" t="n">
        <v>10313</v>
      </c>
      <c r="H68" s="7" t="n">
        <v>10314</v>
      </c>
      <c r="I68" s="7" t="s">
        <v>287</v>
      </c>
      <c r="J68" s="7" t="s">
        <v>219</v>
      </c>
    </row>
    <row r="69" customFormat="false" ht="26.25" hidden="false" customHeight="true" outlineLevel="0" collapsed="false">
      <c r="A69" s="7" t="s">
        <v>130</v>
      </c>
      <c r="B69" s="7" t="n">
        <v>8</v>
      </c>
      <c r="C69" s="7" t="s">
        <v>145</v>
      </c>
      <c r="D69" s="7" t="n">
        <v>0.571</v>
      </c>
      <c r="E69" s="10" t="s">
        <v>224</v>
      </c>
      <c r="F69" s="7" t="s">
        <v>288</v>
      </c>
      <c r="G69" s="7" t="n">
        <v>5070</v>
      </c>
      <c r="H69" s="7" t="n">
        <v>5071</v>
      </c>
      <c r="I69" s="7" t="s">
        <v>289</v>
      </c>
      <c r="J69" s="7" t="s">
        <v>219</v>
      </c>
    </row>
    <row r="70" customFormat="false" ht="14.25" hidden="false" customHeight="true" outlineLevel="0" collapsed="false">
      <c r="A70" s="7" t="s">
        <v>130</v>
      </c>
      <c r="B70" s="7" t="n">
        <v>9</v>
      </c>
      <c r="C70" s="7" t="s">
        <v>147</v>
      </c>
      <c r="D70" s="7" t="n">
        <v>0.85</v>
      </c>
      <c r="E70" s="9" t="s">
        <v>221</v>
      </c>
      <c r="F70" s="7" t="s">
        <v>290</v>
      </c>
      <c r="G70" s="7" t="n">
        <v>1053</v>
      </c>
      <c r="H70" s="7" t="n">
        <v>1053</v>
      </c>
      <c r="I70" s="7" t="s">
        <v>291</v>
      </c>
      <c r="J70" s="7" t="s">
        <v>219</v>
      </c>
    </row>
    <row r="71" customFormat="false" ht="14.25" hidden="false" customHeight="true" outlineLevel="0" collapsed="false">
      <c r="A71" s="7" t="s">
        <v>130</v>
      </c>
      <c r="B71" s="7" t="n">
        <v>10</v>
      </c>
      <c r="C71" s="7" t="s">
        <v>149</v>
      </c>
      <c r="D71" s="7" t="n">
        <v>0.925</v>
      </c>
      <c r="E71" s="9" t="s">
        <v>221</v>
      </c>
      <c r="F71" s="7" t="s">
        <v>290</v>
      </c>
      <c r="G71" s="7" t="n">
        <v>5009</v>
      </c>
      <c r="H71" s="7" t="n">
        <v>5010</v>
      </c>
      <c r="I71" s="7" t="s">
        <v>292</v>
      </c>
      <c r="J71" s="7" t="s">
        <v>219</v>
      </c>
    </row>
    <row r="72" customFormat="false" ht="26.25" hidden="false" customHeight="true" outlineLevel="0" collapsed="false">
      <c r="A72" s="7" t="s">
        <v>130</v>
      </c>
      <c r="B72" s="7" t="n">
        <v>11</v>
      </c>
      <c r="C72" s="7" t="s">
        <v>151</v>
      </c>
      <c r="D72" s="7" t="n">
        <v>0.581</v>
      </c>
      <c r="E72" s="10" t="s">
        <v>224</v>
      </c>
      <c r="F72" s="7" t="s">
        <v>290</v>
      </c>
      <c r="G72" s="7" t="n">
        <v>8379</v>
      </c>
      <c r="H72" s="7" t="n">
        <v>8379</v>
      </c>
      <c r="I72" s="7" t="s">
        <v>293</v>
      </c>
      <c r="J72" s="7" t="s">
        <v>219</v>
      </c>
    </row>
    <row r="73" customFormat="false" ht="14.25" hidden="false" customHeight="true" outlineLevel="0" collapsed="false">
      <c r="A73" s="7" t="s">
        <v>130</v>
      </c>
      <c r="B73" s="7" t="n">
        <v>12</v>
      </c>
      <c r="C73" s="7" t="s">
        <v>153</v>
      </c>
      <c r="D73" s="7" t="n">
        <v>0.639</v>
      </c>
      <c r="E73" s="10" t="s">
        <v>224</v>
      </c>
      <c r="F73" s="7" t="s">
        <v>279</v>
      </c>
      <c r="G73" s="7" t="n">
        <v>14004</v>
      </c>
      <c r="H73" s="7" t="n">
        <v>14004</v>
      </c>
      <c r="I73" s="7" t="s">
        <v>294</v>
      </c>
      <c r="J73" s="7" t="s">
        <v>219</v>
      </c>
    </row>
    <row r="74" customFormat="false" ht="14.25" hidden="false" customHeight="true" outlineLevel="0" collapsed="false">
      <c r="A74" s="7" t="s">
        <v>130</v>
      </c>
      <c r="B74" s="7" t="n">
        <v>13</v>
      </c>
      <c r="C74" s="7" t="s">
        <v>155</v>
      </c>
      <c r="D74" s="7" t="n">
        <v>0.769</v>
      </c>
      <c r="E74" s="8" t="s">
        <v>214</v>
      </c>
      <c r="F74" s="7" t="s">
        <v>288</v>
      </c>
      <c r="G74" s="7" t="n">
        <v>8861</v>
      </c>
      <c r="H74" s="7" t="n">
        <v>8861</v>
      </c>
      <c r="I74" s="7" t="s">
        <v>295</v>
      </c>
      <c r="J74" s="7" t="s">
        <v>219</v>
      </c>
    </row>
    <row r="75" customFormat="false" ht="26.25" hidden="false" customHeight="true" outlineLevel="0" collapsed="false">
      <c r="A75" s="7" t="s">
        <v>130</v>
      </c>
      <c r="B75" s="7" t="n">
        <v>14</v>
      </c>
      <c r="C75" s="7" t="s">
        <v>157</v>
      </c>
      <c r="D75" s="7" t="n">
        <v>0.621</v>
      </c>
      <c r="E75" s="10" t="s">
        <v>224</v>
      </c>
      <c r="F75" s="7" t="s">
        <v>290</v>
      </c>
      <c r="G75" s="7" t="n">
        <v>17012</v>
      </c>
      <c r="H75" s="7" t="n">
        <v>17013</v>
      </c>
      <c r="I75" s="7" t="s">
        <v>296</v>
      </c>
      <c r="J75" s="7" t="s">
        <v>219</v>
      </c>
    </row>
    <row r="76" customFormat="false" ht="14.25" hidden="false" customHeight="true" outlineLevel="0" collapsed="false">
      <c r="A76" s="7" t="s">
        <v>130</v>
      </c>
      <c r="B76" s="7" t="n">
        <v>15</v>
      </c>
      <c r="C76" s="7" t="s">
        <v>159</v>
      </c>
      <c r="D76" s="7" t="n">
        <v>0.611</v>
      </c>
      <c r="E76" s="10" t="s">
        <v>224</v>
      </c>
      <c r="F76" s="7" t="s">
        <v>297</v>
      </c>
      <c r="G76" s="7" t="n">
        <v>1311</v>
      </c>
      <c r="H76" s="7" t="n">
        <v>1311</v>
      </c>
      <c r="I76" s="7" t="s">
        <v>298</v>
      </c>
      <c r="J76" s="7" t="s">
        <v>219</v>
      </c>
    </row>
    <row r="77" customFormat="false" ht="26.25" hidden="false" customHeight="true" outlineLevel="0" collapsed="false">
      <c r="A77" s="7" t="s">
        <v>130</v>
      </c>
      <c r="B77" s="7" t="n">
        <v>16</v>
      </c>
      <c r="C77" s="7" t="s">
        <v>161</v>
      </c>
      <c r="D77" s="7" t="n">
        <v>0.531</v>
      </c>
      <c r="E77" s="10" t="s">
        <v>224</v>
      </c>
      <c r="F77" s="7" t="s">
        <v>297</v>
      </c>
      <c r="G77" s="7" t="n">
        <v>3102</v>
      </c>
      <c r="H77" s="7" t="n">
        <v>3102</v>
      </c>
      <c r="I77" s="7" t="s">
        <v>299</v>
      </c>
      <c r="J77" s="7" t="s">
        <v>219</v>
      </c>
    </row>
    <row r="78" customFormat="false" ht="14.25" hidden="false" customHeight="true" outlineLevel="0" collapsed="false">
      <c r="A78" s="7" t="s">
        <v>130</v>
      </c>
      <c r="B78" s="7" t="n">
        <v>17</v>
      </c>
      <c r="C78" s="7" t="s">
        <v>163</v>
      </c>
      <c r="D78" s="7" t="n">
        <v>0.909</v>
      </c>
      <c r="E78" s="9" t="s">
        <v>221</v>
      </c>
      <c r="F78" s="7" t="s">
        <v>297</v>
      </c>
      <c r="G78" s="7" t="n">
        <v>3790</v>
      </c>
      <c r="H78" s="7" t="n">
        <v>3790</v>
      </c>
      <c r="I78" s="7" t="s">
        <v>300</v>
      </c>
      <c r="J78" s="7" t="s">
        <v>219</v>
      </c>
    </row>
    <row r="79" customFormat="false" ht="14.25" hidden="false" customHeight="true" outlineLevel="0" collapsed="false">
      <c r="A79" s="7" t="s">
        <v>130</v>
      </c>
      <c r="B79" s="7" t="n">
        <v>18</v>
      </c>
      <c r="C79" s="7" t="s">
        <v>165</v>
      </c>
      <c r="D79" s="7" t="n">
        <v>0.8</v>
      </c>
      <c r="E79" s="8" t="s">
        <v>214</v>
      </c>
      <c r="F79" s="7" t="s">
        <v>288</v>
      </c>
      <c r="G79" s="7" t="n">
        <v>6170</v>
      </c>
      <c r="H79" s="7" t="n">
        <v>6170</v>
      </c>
      <c r="I79" s="7" t="s">
        <v>301</v>
      </c>
      <c r="J79" s="7" t="s">
        <v>219</v>
      </c>
    </row>
    <row r="80" customFormat="false" ht="14.25" hidden="false" customHeight="true" outlineLevel="0" collapsed="false">
      <c r="A80" s="7" t="s">
        <v>130</v>
      </c>
      <c r="B80" s="7" t="n">
        <v>19</v>
      </c>
      <c r="C80" s="7" t="s">
        <v>166</v>
      </c>
      <c r="D80" s="7" t="n">
        <v>0.364</v>
      </c>
      <c r="E80" s="10" t="s">
        <v>224</v>
      </c>
      <c r="F80" s="7" t="s">
        <v>279</v>
      </c>
      <c r="G80" s="7" t="n">
        <v>5740</v>
      </c>
      <c r="H80" s="7" t="n">
        <v>5741</v>
      </c>
      <c r="I80" s="7" t="s">
        <v>302</v>
      </c>
      <c r="J80" s="7" t="s">
        <v>217</v>
      </c>
    </row>
    <row r="81" customFormat="false" ht="26.25" hidden="false" customHeight="true" outlineLevel="0" collapsed="false">
      <c r="A81" s="7" t="s">
        <v>130</v>
      </c>
      <c r="B81" s="7" t="n">
        <v>20</v>
      </c>
      <c r="C81" s="7" t="s">
        <v>167</v>
      </c>
      <c r="D81" s="7" t="n">
        <v>0.585</v>
      </c>
      <c r="E81" s="10" t="s">
        <v>224</v>
      </c>
      <c r="F81" s="7" t="s">
        <v>281</v>
      </c>
      <c r="G81" s="7" t="n">
        <v>2559</v>
      </c>
      <c r="H81" s="7" t="n">
        <v>2559</v>
      </c>
      <c r="I81" s="7" t="s">
        <v>303</v>
      </c>
      <c r="J81" s="7" t="s">
        <v>219</v>
      </c>
    </row>
    <row r="82" customFormat="false" ht="26.25" hidden="false" customHeight="true" outlineLevel="0" collapsed="false">
      <c r="A82" s="7" t="s">
        <v>130</v>
      </c>
      <c r="B82" s="7" t="n">
        <v>21</v>
      </c>
      <c r="C82" s="7" t="s">
        <v>169</v>
      </c>
      <c r="D82" s="7" t="n">
        <v>0.528</v>
      </c>
      <c r="E82" s="10" t="s">
        <v>224</v>
      </c>
      <c r="F82" s="7" t="s">
        <v>281</v>
      </c>
      <c r="G82" s="7" t="n">
        <v>4165</v>
      </c>
      <c r="H82" s="7" t="n">
        <v>4165</v>
      </c>
      <c r="I82" s="7" t="s">
        <v>304</v>
      </c>
      <c r="J82" s="7" t="s">
        <v>219</v>
      </c>
    </row>
    <row r="83" customFormat="false" ht="26.25" hidden="false" customHeight="true" outlineLevel="0" collapsed="false">
      <c r="A83" s="7" t="s">
        <v>130</v>
      </c>
      <c r="B83" s="7" t="n">
        <v>22</v>
      </c>
      <c r="C83" s="7" t="s">
        <v>171</v>
      </c>
      <c r="D83" s="7" t="n">
        <v>0.545</v>
      </c>
      <c r="E83" s="10" t="s">
        <v>224</v>
      </c>
      <c r="F83" s="7" t="s">
        <v>281</v>
      </c>
      <c r="G83" s="7" t="n">
        <v>4816</v>
      </c>
      <c r="H83" s="7" t="n">
        <v>4816</v>
      </c>
      <c r="I83" s="7" t="s">
        <v>305</v>
      </c>
      <c r="J83" s="7" t="s">
        <v>219</v>
      </c>
    </row>
    <row r="84" customFormat="false" ht="26.25" hidden="false" customHeight="true" outlineLevel="0" collapsed="false">
      <c r="A84" s="7" t="s">
        <v>130</v>
      </c>
      <c r="B84" s="7" t="n">
        <v>23</v>
      </c>
      <c r="C84" s="7" t="s">
        <v>173</v>
      </c>
      <c r="D84" s="7" t="n">
        <v>0.46</v>
      </c>
      <c r="E84" s="10" t="s">
        <v>224</v>
      </c>
      <c r="F84" s="7" t="s">
        <v>281</v>
      </c>
      <c r="G84" s="7" t="n">
        <v>5469</v>
      </c>
      <c r="H84" s="7" t="n">
        <v>5470</v>
      </c>
      <c r="I84" s="7" t="s">
        <v>306</v>
      </c>
      <c r="J84" s="7" t="s">
        <v>219</v>
      </c>
    </row>
    <row r="85" customFormat="false" ht="26.25" hidden="false" customHeight="true" outlineLevel="0" collapsed="false">
      <c r="A85" s="7" t="s">
        <v>130</v>
      </c>
      <c r="B85" s="7" t="n">
        <v>24</v>
      </c>
      <c r="C85" s="7" t="s">
        <v>175</v>
      </c>
      <c r="D85" s="7" t="n">
        <v>0.545</v>
      </c>
      <c r="E85" s="10" t="s">
        <v>224</v>
      </c>
      <c r="F85" s="7" t="s">
        <v>281</v>
      </c>
      <c r="G85" s="7" t="n">
        <v>6085</v>
      </c>
      <c r="H85" s="7" t="n">
        <v>6086</v>
      </c>
      <c r="I85" s="7" t="s">
        <v>307</v>
      </c>
      <c r="J85" s="7" t="s">
        <v>219</v>
      </c>
    </row>
    <row r="86" customFormat="false" ht="26.25" hidden="false" customHeight="true" outlineLevel="0" collapsed="false">
      <c r="A86" s="7" t="s">
        <v>130</v>
      </c>
      <c r="B86" s="7" t="n">
        <v>25</v>
      </c>
      <c r="C86" s="7" t="s">
        <v>177</v>
      </c>
      <c r="D86" s="7" t="n">
        <v>0.589</v>
      </c>
      <c r="E86" s="10" t="s">
        <v>224</v>
      </c>
      <c r="F86" s="7" t="s">
        <v>281</v>
      </c>
      <c r="G86" s="7" t="n">
        <v>6746</v>
      </c>
      <c r="H86" s="7" t="n">
        <v>6746</v>
      </c>
      <c r="I86" s="7" t="s">
        <v>308</v>
      </c>
      <c r="J86" s="7" t="s">
        <v>219</v>
      </c>
    </row>
    <row r="87" customFormat="false" ht="26.25" hidden="false" customHeight="true" outlineLevel="0" collapsed="false">
      <c r="A87" s="7" t="s">
        <v>130</v>
      </c>
      <c r="B87" s="7" t="n">
        <v>26</v>
      </c>
      <c r="C87" s="7" t="s">
        <v>179</v>
      </c>
      <c r="D87" s="7" t="n">
        <v>0.68</v>
      </c>
      <c r="E87" s="8" t="s">
        <v>214</v>
      </c>
      <c r="F87" s="7" t="s">
        <v>281</v>
      </c>
      <c r="G87" s="7" t="n">
        <v>7494</v>
      </c>
      <c r="H87" s="7" t="n">
        <v>7494</v>
      </c>
      <c r="I87" s="7" t="s">
        <v>309</v>
      </c>
      <c r="J87" s="7" t="s">
        <v>219</v>
      </c>
    </row>
    <row r="88" customFormat="false" ht="14.25" hidden="false" customHeight="true" outlineLevel="0" collapsed="false">
      <c r="A88" s="7" t="s">
        <v>130</v>
      </c>
      <c r="B88" s="7" t="n">
        <v>27</v>
      </c>
      <c r="C88" s="7" t="s">
        <v>181</v>
      </c>
      <c r="D88" s="7" t="n">
        <v>0.163</v>
      </c>
      <c r="E88" s="10" t="s">
        <v>224</v>
      </c>
      <c r="F88" s="7" t="s">
        <v>290</v>
      </c>
      <c r="G88" s="7" t="n">
        <v>17108</v>
      </c>
      <c r="H88" s="7" t="n">
        <v>17109</v>
      </c>
      <c r="I88" s="7" t="s">
        <v>310</v>
      </c>
      <c r="J88" s="7" t="s">
        <v>217</v>
      </c>
    </row>
    <row r="89" customFormat="false" ht="26.25" hidden="false" customHeight="true" outlineLevel="0" collapsed="false">
      <c r="A89" s="7" t="s">
        <v>130</v>
      </c>
      <c r="B89" s="7" t="n">
        <v>28</v>
      </c>
      <c r="C89" s="7" t="s">
        <v>182</v>
      </c>
      <c r="D89" s="7" t="n">
        <v>0.564</v>
      </c>
      <c r="E89" s="10" t="s">
        <v>224</v>
      </c>
      <c r="F89" s="7" t="s">
        <v>281</v>
      </c>
      <c r="G89" s="7" t="n">
        <v>8744</v>
      </c>
      <c r="H89" s="7" t="n">
        <v>8745</v>
      </c>
      <c r="I89" s="7" t="s">
        <v>311</v>
      </c>
      <c r="J89" s="7" t="s">
        <v>219</v>
      </c>
    </row>
    <row r="90" customFormat="false" ht="14.25" hidden="false" customHeight="true" outlineLevel="0" collapsed="false">
      <c r="A90" s="7" t="s">
        <v>130</v>
      </c>
      <c r="B90" s="7" t="n">
        <v>29</v>
      </c>
      <c r="C90" s="7" t="s">
        <v>184</v>
      </c>
      <c r="D90" s="7" t="n">
        <v>0.769</v>
      </c>
      <c r="E90" s="8" t="s">
        <v>214</v>
      </c>
      <c r="F90" s="7" t="s">
        <v>288</v>
      </c>
      <c r="G90" s="7" t="n">
        <v>79</v>
      </c>
      <c r="H90" s="7" t="n">
        <v>79</v>
      </c>
      <c r="I90" s="7" t="s">
        <v>312</v>
      </c>
      <c r="J90" s="7" t="s">
        <v>219</v>
      </c>
    </row>
    <row r="91" customFormat="false" ht="52.5" hidden="false" customHeight="true" outlineLevel="0" collapsed="false">
      <c r="A91" s="7" t="s">
        <v>130</v>
      </c>
      <c r="B91" s="7" t="n">
        <v>30</v>
      </c>
      <c r="C91" s="7" t="s">
        <v>186</v>
      </c>
      <c r="D91" s="7" t="n">
        <v>0.681</v>
      </c>
      <c r="E91" s="8" t="s">
        <v>214</v>
      </c>
      <c r="F91" s="7" t="s">
        <v>288</v>
      </c>
      <c r="G91" s="7" t="n">
        <v>972</v>
      </c>
      <c r="H91" s="7" t="n">
        <v>972</v>
      </c>
      <c r="I91" s="7" t="s">
        <v>313</v>
      </c>
      <c r="J91" s="7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2026-10-06T04:51:18Z</dcterms:created>
  <dc:creator>openpyxl</dc:creator>
  <dc:description/>
  <dc:language>en-US</dc:language>
  <cp:lastModifiedBy>siva panuganti</cp:lastModifiedBy>
  <dcterms:modified xsi:type="dcterms:W3CDTF">2026-10-06T05:37:18Z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